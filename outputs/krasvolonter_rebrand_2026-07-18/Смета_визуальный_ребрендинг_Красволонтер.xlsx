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4d170a10514e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мета" sheetId="1" r:id="Ref50746215f040fd"/>
    <x:sheet xmlns:r="http://schemas.openxmlformats.org/officeDocument/2006/relationships" name="Объем и допущения" sheetId="2" r:id="R4eb1986acd1643bb"/>
    <x:sheet xmlns:r="http://schemas.openxmlformats.org/officeDocument/2006/relationships" name="Карта сайта" sheetId="3" r:id="R489d5d6148044b7a"/>
    <x:sheet xmlns:r="http://schemas.openxmlformats.org/officeDocument/2006/relationships" name="Опциональные работы" sheetId="4" r:id="R9f6b9b4dfecb46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&quot; ₽&quot;"/>
    <x:numFmt numFmtId="201" formatCode="0%"/>
  </x:numFmts>
  <x:fonts count="18">
    <x:font>
      <x:sz val="11"/>
      <x:name val="Carlito"/>
    </x:font>
    <x:font>
      <x:b/>
      <x:sz val="18"/>
      <x:color rgb="FFFFFFFF"/>
      <x:name val="Carlito"/>
    </x:font>
    <x:font>
      <x:sz val="10"/>
      <x:color rgb="FF17324D"/>
      <x:name val="Carlito"/>
    </x:font>
    <x:font>
      <x:b/>
      <x:sz val="11"/>
      <x:color rgb="FF17324D"/>
      <x:name val="Carlito"/>
    </x:font>
    <x:font>
      <x:b/>
      <x:sz val="10"/>
      <x:color rgb="FFFFFFFF"/>
      <x:name val="Carlito"/>
    </x:font>
    <x:font>
      <x:sz val="9"/>
      <x:color rgb="FF1D2733"/>
      <x:name val="Carlito"/>
    </x:font>
    <x:font>
      <x:b/>
      <x:sz val="9"/>
      <x:color rgb="FF17324D"/>
      <x:name val="Carlito"/>
    </x:font>
    <x:font>
      <x:b/>
      <x:sz val="11"/>
      <x:color rgb="FFFFFFFF"/>
      <x:name val="Carlito"/>
    </x:font>
    <x:font>
      <x:b/>
      <x:sz val="9"/>
      <x:color rgb="FFE94B35"/>
      <x:name val="Carlito"/>
    </x:font>
    <x:font>
      <x:b/>
      <x:sz val="18"/>
      <x:color rgb="FFFFFFFF"/>
      <x:name val="Arial"/>
    </x:font>
    <x:font>
      <x:sz val="10"/>
      <x:color rgb="FF17324D"/>
      <x:name val="Arial"/>
    </x:font>
    <x:font>
      <x:b/>
      <x:sz val="11"/>
      <x:color rgb="FF17324D"/>
      <x:name val="Arial"/>
    </x:font>
    <x:font>
      <x:sz val="11"/>
      <x:name val="Arial"/>
    </x:font>
    <x:font>
      <x:b/>
      <x:sz val="10"/>
      <x:color rgb="FFFFFFFF"/>
      <x:name val="Arial"/>
    </x:font>
    <x:font>
      <x:sz val="9"/>
      <x:color rgb="FF1D2733"/>
      <x:name val="Arial"/>
    </x:font>
    <x:font>
      <x:b/>
      <x:sz val="9"/>
      <x:color rgb="FF17324D"/>
      <x:name val="Arial"/>
    </x:font>
    <x:font>
      <x:b/>
      <x:sz val="11"/>
      <x:color rgb="FFFFFFFF"/>
      <x:name val="Arial"/>
    </x:font>
    <x:font>
      <x:b/>
      <x:sz val="9"/>
      <x:color rgb="FFE94B35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3FF"/>
      </x:patternFill>
    </x:fill>
    <x:fill>
      <x:patternFill patternType="solid">
        <x:fgColor rgb="FFF4F6F8"/>
      </x:patternFill>
    </x:fill>
    <x:fill>
      <x:patternFill patternType="solid">
        <x:fgColor rgb="FFE94B35"/>
      </x:patternFill>
    </x:fill>
    <x:fill>
      <x:patternFill patternType="solid">
        <x:fgColor rgb="FFFFFFFF"/>
      </x:patternFill>
    </x:fill>
    <x:fill>
      <x:patternFill patternType="solid">
        <x:fgColor rgb="FFFDEDEA"/>
      </x:patternFill>
    </x:fill>
  </x:fills>
  <x:borders count="18">
    <x:border/>
    <x:border>
      <x:left style="thin">
        <x:color rgb="FFD8DEE5"/>
      </x:left>
      <x:top style="thin">
        <x:color rgb="FFD8DEE5"/>
      </x:top>
    </x:border>
    <x:border>
      <x:top style="thin">
        <x:color rgb="FFD8DEE5"/>
      </x:top>
    </x:border>
    <x:border>
      <x:right style="thin">
        <x:color rgb="FFD8DEE5"/>
      </x:right>
      <x:top style="thin">
        <x:color rgb="FFD8DEE5"/>
      </x:top>
    </x:border>
    <x:border>
      <x:left style="thin">
        <x:color rgb="FFD8DEE5"/>
      </x:left>
    </x:border>
    <x:border>
      <x:right style="thin">
        <x:color rgb="FFD8DEE5"/>
      </x:right>
    </x:border>
    <x:border>
      <x:left style="thin">
        <x:color rgb="FFD8DEE5"/>
      </x:left>
      <x:bottom style="thin">
        <x:color rgb="FFD8DEE5"/>
      </x:bottom>
    </x:border>
    <x:border>
      <x:bottom style="thin">
        <x:color rgb="FFD8DEE5"/>
      </x:bottom>
    </x:border>
    <x:border>
      <x:right style="thin">
        <x:color rgb="FFD8DEE5"/>
      </x:right>
      <x:bottom style="thin">
        <x:color rgb="FFD8DEE5"/>
      </x:bottom>
    </x:border>
    <x:border>
      <x:left style="thin">
        <x:color rgb="FF17324D"/>
      </x:left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left style="thin">
        <x:color rgb="FFD8DEE5"/>
      </x:left>
      <x:right style="thin">
        <x:color rgb="FFD8DEE5"/>
      </x:right>
      <x:bottom style="thin">
        <x:color rgb="FFD8DEE5"/>
      </x:bottom>
    </x:border>
    <x:border>
      <x:right style="thin">
        <x:color rgb="FFD8DEE5"/>
      </x:right>
      <x:top style="thin">
        <x:color rgb="FFD8DEE5"/>
      </x:top>
      <x:bottom style="thin">
        <x:color rgb="FFD8DEE5"/>
      </x:bottom>
    </x:border>
    <x:border>
      <x:left style="thin">
        <x:color rgb="FFD8DEE5"/>
      </x:left>
      <x:right style="thin">
        <x:color rgb="FFD8DEE5"/>
      </x:right>
      <x:top style="thin">
        <x:color rgb="FFD8DEE5"/>
      </x:top>
      <x:bottom style="thin">
        <x:color rgb="FFD8DEE5"/>
      </x:bottom>
    </x:border>
    <x:border>
      <x:left style="thin">
        <x:color rgb="FFD8DEE5"/>
      </x:left>
      <x:top style="thin">
        <x:color rgb="FFD8DEE5"/>
      </x:top>
      <x:bottom style="thin">
        <x:color rgb="FFD8DEE5"/>
      </x:bottom>
    </x:border>
    <x:border>
      <x:left style="thin">
        <x:color rgb="FFD8DEE5"/>
      </x:left>
      <x:right style="thin">
        <x:color rgb="FFD8DEE5"/>
      </x:right>
      <x:top style="thin">
        <x:color rgb="FFD8DEE5"/>
      </x:top>
    </x:border>
    <x:border>
      <x:left style="medium">
        <x:color rgb="FFE94B35"/>
      </x:left>
      <x:top style="medium">
        <x:color rgb="FFE94B35"/>
      </x:top>
      <x:bottom style="medium">
        <x:color rgb="FFE94B35"/>
      </x:bottom>
    </x:border>
    <x:border>
      <x:top style="medium">
        <x:color rgb="FFE94B35"/>
      </x:top>
      <x:bottom style="medium">
        <x:color rgb="FFE94B35"/>
      </x:bottom>
    </x:border>
    <x:border>
      <x:right style="medium">
        <x:color rgb="FFE94B35"/>
      </x:right>
      <x:top style="medium">
        <x:color rgb="FFE94B35"/>
      </x:top>
      <x:bottom style="medium">
        <x:color rgb="FFE94B35"/>
      </x:bottom>
    </x:border>
  </x:borders>
  <x:cellStyleXfs count="1">
    <x:xf numFmtId="0" fontId="0" fillId="0" borderId="0"/>
  </x:cellStyleXfs>
  <x:cellXfs count="2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4" fillId="2" borderId="0" xfId="0" applyNumberFormat="1" applyFont="1" applyFill="1" applyBorder="1"/>
    <x:xf numFmtId="0" fontId="4" fillId="2" borderId="9" xfId="0" applyNumberFormat="1" applyFont="1" applyFill="1" applyBorder="1"/>
    <x:xf numFmtId="0" fontId="4" fillId="2" borderId="9" xfId="0" applyNumberFormat="1" applyFont="1" applyFill="1" applyBorder="1" applyAlignment="1">
      <x:alignment wrapText="1"/>
    </x:xf>
    <x:xf numFmtId="0" fontId="4" fillId="2" borderId="9" xfId="0" applyNumberFormat="1" applyFont="1" applyFill="1" applyBorder="1" applyAlignment="1">
      <x:alignment horizontal="center" wrapText="1"/>
    </x:xf>
    <x:xf numFmtId="0" fontId="4" fillId="2" borderId="9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8" xfId="0" applyNumberFormat="1" applyFont="1" applyFill="1" applyBorder="1"/>
    <x:xf numFmtId="0" fontId="5" fillId="0" borderId="10" xfId="0" applyNumberFormat="1" applyFont="1" applyFill="1" applyBorder="1"/>
    <x:xf numFmtId="0" fontId="5" fillId="0" borderId="6" xfId="0" applyNumberFormat="1" applyFont="1" applyFill="1" applyBorder="1"/>
    <x:xf numFmtId="0" fontId="5" fillId="0" borderId="11" xfId="0" applyNumberFormat="1" applyFont="1" applyFill="1" applyBorder="1"/>
    <x:xf numFmtId="0" fontId="5" fillId="0" borderId="12" xfId="0" applyNumberFormat="1" applyFont="1" applyFill="1" applyBorder="1"/>
    <x:xf numFmtId="0" fontId="5" fillId="0" borderId="13" xfId="0" applyNumberFormat="1" applyFont="1" applyFill="1" applyBorder="1"/>
    <x:xf numFmtId="0" fontId="5" fillId="0" borderId="3" xfId="0" applyNumberFormat="1" applyFont="1" applyFill="1" applyBorder="1"/>
    <x:xf numFmtId="0" fontId="5" fillId="0" borderId="14" xfId="0" applyNumberFormat="1" applyFont="1" applyFill="1" applyBorder="1"/>
    <x:xf numFmtId="0" fontId="5" fillId="0" borderId="1" xfId="0" applyNumberFormat="1" applyFont="1" applyFill="1" applyBorder="1"/>
    <x:xf numFmtId="0" fontId="5" fillId="0" borderId="8" xfId="0" applyNumberFormat="1" applyFont="1" applyFill="1" applyBorder="1" applyAlignment="1">
      <x:alignment wrapText="1"/>
    </x:xf>
    <x:xf numFmtId="0" fontId="5" fillId="0" borderId="10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11" xfId="0" applyNumberFormat="1" applyFont="1" applyFill="1" applyBorder="1" applyAlignment="1">
      <x:alignment wrapText="1"/>
    </x:xf>
    <x:xf numFmtId="0" fontId="5" fillId="0" borderId="12" xfId="0" applyNumberFormat="1" applyFont="1" applyFill="1" applyBorder="1" applyAlignment="1">
      <x:alignment wrapText="1"/>
    </x:xf>
    <x:xf numFmtId="0" fontId="5" fillId="0" borderId="13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0" borderId="14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10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11" xfId="0" applyNumberFormat="1" applyFont="1" applyFill="1" applyBorder="1" applyAlignment="1">
      <x:alignment vertical="top" wrapText="1"/>
    </x:xf>
    <x:xf numFmtId="0" fontId="5" fillId="0" borderId="12" xfId="0" applyNumberFormat="1" applyFont="1" applyFill="1" applyBorder="1" applyAlignment="1">
      <x:alignment vertical="top" wrapText="1"/>
    </x:xf>
    <x:xf numFmtId="0" fontId="5" fillId="0" borderId="13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 applyAlignment="1">
      <x:alignment vertical="top" wrapText="1"/>
    </x:xf>
    <x:xf numFmtId="0" fontId="5" fillId="0" borderId="14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horizontal="center" vertical="top" wrapText="1"/>
    </x:xf>
    <x:xf numFmtId="0" fontId="5" fillId="0" borderId="11" xfId="0" applyNumberFormat="1" applyFont="1" applyFill="1" applyBorder="1" applyAlignment="1">
      <x:alignment horizontal="center" vertical="top" wrapText="1"/>
    </x:xf>
    <x:xf numFmtId="0" fontId="5" fillId="0" borderId="3" xfId="0" applyNumberFormat="1" applyFont="1" applyFill="1" applyBorder="1" applyAlignment="1">
      <x:alignment horizontal="center" vertical="top" wrapText="1"/>
    </x:xf>
    <x:xf numFmtId="0" fontId="5" fillId="0" borderId="10" xfId="0" applyNumberFormat="1" applyFont="1" applyFill="1" applyBorder="1" applyAlignment="1">
      <x:alignment horizontal="center" vertical="top" wrapText="1"/>
    </x:xf>
    <x:xf numFmtId="0" fontId="5" fillId="0" borderId="12" xfId="0" applyNumberFormat="1" applyFont="1" applyFill="1" applyBorder="1" applyAlignment="1">
      <x:alignment horizontal="center" vertical="top" wrapText="1"/>
    </x:xf>
    <x:xf numFmtId="0" fontId="5" fillId="0" borderId="14" xfId="0" applyNumberFormat="1" applyFont="1" applyFill="1" applyBorder="1" applyAlignment="1">
      <x:alignment horizontal="center" vertical="top" wrapText="1"/>
    </x:xf>
    <x:xf numFmtId="200" fontId="5" fillId="0" borderId="10" xfId="0" applyNumberFormat="1" applyFont="1" applyFill="1" applyBorder="1" applyAlignment="1">
      <x:alignment horizontal="center" vertical="top" wrapText="1"/>
    </x:xf>
    <x:xf numFmtId="200" fontId="5" fillId="0" borderId="10" xfId="0" applyNumberFormat="1" applyFont="1" applyFill="1" applyBorder="1" applyAlignment="1">
      <x:alignment vertical="top" wrapText="1"/>
    </x:xf>
    <x:xf numFmtId="200" fontId="5" fillId="0" borderId="12" xfId="0" applyNumberFormat="1" applyFont="1" applyFill="1" applyBorder="1" applyAlignment="1">
      <x:alignment horizontal="center" vertical="top" wrapText="1"/>
    </x:xf>
    <x:xf numFmtId="200" fontId="5" fillId="0" borderId="12" xfId="0" applyNumberFormat="1" applyFont="1" applyFill="1" applyBorder="1" applyAlignment="1">
      <x:alignment vertical="top" wrapText="1"/>
    </x:xf>
    <x:xf numFmtId="200" fontId="5" fillId="0" borderId="14" xfId="0" applyNumberFormat="1" applyFont="1" applyFill="1" applyBorder="1" applyAlignment="1">
      <x:alignment horizontal="center" vertical="top" wrapText="1"/>
    </x:xf>
    <x:xf numFmtId="200" fontId="5" fillId="0" borderId="14" xfId="0" applyNumberFormat="1" applyFont="1" applyFill="1" applyBorder="1" applyAlignment="1">
      <x:alignment vertical="top" wrapText="1"/>
    </x:xf>
    <x:xf numFmtId="0" fontId="5" fillId="3" borderId="10" xfId="0" applyNumberFormat="1" applyFont="1" applyFill="1" applyBorder="1" applyAlignment="1">
      <x:alignment vertical="top" wrapText="1"/>
    </x:xf>
    <x:xf numFmtId="0" fontId="5" fillId="3" borderId="12" xfId="0" applyNumberFormat="1" applyFont="1" applyFill="1" applyBorder="1" applyAlignment="1">
      <x:alignment vertical="top" wrapText="1"/>
    </x:xf>
    <x:xf numFmtId="0" fontId="5" fillId="3" borderId="14" xfId="0" applyNumberFormat="1" applyFont="1" applyFill="1" applyBorder="1" applyAlignment="1">
      <x:alignment vertical="top" wrapText="1"/>
    </x:xf>
    <x:xf numFmtId="0" fontId="6" fillId="3" borderId="10" xfId="0" applyNumberFormat="1" applyFont="1" applyFill="1" applyBorder="1" applyAlignment="1">
      <x:alignment vertical="top" wrapText="1"/>
    </x:xf>
    <x:xf numFmtId="0" fontId="6" fillId="3" borderId="12" xfId="0" applyNumberFormat="1" applyFont="1" applyFill="1" applyBorder="1" applyAlignment="1">
      <x:alignment vertical="top" wrapText="1"/>
    </x:xf>
    <x:xf numFmtId="0" fontId="6" fillId="3" borderId="14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3" fillId="4" borderId="0" xfId="0" applyNumberFormat="1" applyFont="1" applyFill="1" applyBorder="1"/>
    <x:xf numFmtId="0" fontId="3" fillId="4" borderId="8" xfId="0" applyNumberFormat="1" applyFont="1" applyFill="1" applyBorder="1"/>
    <x:xf numFmtId="0" fontId="3" fillId="4" borderId="10" xfId="0" applyNumberFormat="1" applyFont="1" applyFill="1" applyBorder="1"/>
    <x:xf numFmtId="0" fontId="3" fillId="4" borderId="3" xfId="0" applyNumberFormat="1" applyFont="1" applyFill="1" applyBorder="1"/>
    <x:xf numFmtId="0" fontId="3" fillId="4" borderId="14" xfId="0" applyNumberFormat="1" applyFont="1" applyFill="1" applyBorder="1"/>
    <x:xf numFmtId="201" fontId="3" fillId="4" borderId="14" xfId="0" applyNumberFormat="1" applyFont="1" applyFill="1" applyBorder="1"/>
    <x:xf numFmtId="0" fontId="3" fillId="4" borderId="8" xfId="0" applyNumberFormat="1" applyFont="1" applyFill="1" applyBorder="1" applyAlignment="1">
      <x:alignment wrapText="1"/>
    </x:xf>
    <x:xf numFmtId="0" fontId="3" fillId="4" borderId="10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4" xfId="0" applyNumberFormat="1" applyFont="1" applyFill="1" applyBorder="1" applyAlignment="1">
      <x:alignment wrapText="1"/>
    </x:xf>
    <x:xf numFmtId="201" fontId="3" fillId="4" borderId="14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15" xfId="0" applyNumberFormat="1" applyFont="1" applyFill="1" applyBorder="1"/>
    <x:xf numFmtId="0" fontId="7" fillId="5" borderId="16" xfId="0" applyNumberFormat="1" applyFont="1" applyFill="1" applyBorder="1"/>
    <x:xf numFmtId="0" fontId="7" fillId="5" borderId="17" xfId="0" applyNumberFormat="1" applyFont="1" applyFill="1" applyBorder="1"/>
    <x:xf numFmtId="0" fontId="7" fillId="5" borderId="15" xfId="0" applyNumberFormat="1" applyFont="1" applyFill="1" applyBorder="1" applyAlignment="1">
      <x:alignment wrapText="1"/>
    </x:xf>
    <x:xf numFmtId="0" fontId="7" fillId="5" borderId="16" xfId="0" applyNumberFormat="1" applyFont="1" applyFill="1" applyBorder="1" applyAlignment="1">
      <x:alignment wrapText="1"/>
    </x:xf>
    <x:xf numFmtId="0" fontId="7" fillId="5" borderId="17" xfId="0" applyNumberFormat="1" applyFont="1" applyFill="1" applyBorder="1" applyAlignment="1">
      <x:alignment wrapText="1"/>
    </x:xf>
    <x:xf numFmtId="200" fontId="3" fillId="4" borderId="10" xfId="0" applyNumberFormat="1" applyFont="1" applyFill="1" applyBorder="1" applyAlignment="1">
      <x:alignment wrapText="1"/>
    </x:xf>
    <x:xf numFmtId="200" fontId="3" fillId="4" borderId="14" xfId="0" applyNumberFormat="1" applyFont="1" applyFill="1" applyBorder="1" applyAlignment="1">
      <x:alignment wrapText="1"/>
    </x:xf>
    <x:xf numFmtId="200" fontId="7" fillId="5" borderId="16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8" xfId="0" applyNumberFormat="1" applyFont="1" applyFill="1" applyBorder="1"/>
    <x:xf numFmtId="0" fontId="5" fillId="6" borderId="10" xfId="0" applyNumberFormat="1" applyFont="1" applyFill="1" applyBorder="1"/>
    <x:xf numFmtId="0" fontId="5" fillId="6" borderId="6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3" xfId="0" applyNumberFormat="1" applyFont="1" applyFill="1" applyBorder="1"/>
    <x:xf numFmtId="0" fontId="5" fillId="6" borderId="14" xfId="0" applyNumberFormat="1" applyFont="1" applyFill="1" applyBorder="1"/>
    <x:xf numFmtId="0" fontId="5" fillId="6" borderId="1" xfId="0" applyNumberFormat="1" applyFont="1" applyFill="1" applyBorder="1"/>
    <x:xf numFmtId="0" fontId="5" fillId="6" borderId="8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wrapText="1"/>
    </x:xf>
    <x:xf numFmtId="0" fontId="5" fillId="6" borderId="6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3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5" fillId="6" borderId="8" xfId="0" applyNumberFormat="1" applyFont="1" applyFill="1" applyBorder="1" applyAlignment="1">
      <x:alignment vertical="center"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6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3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1" xfId="0" applyNumberFormat="1" applyFont="1" applyFill="1" applyBorder="1" applyAlignment="1">
      <x:alignment vertical="center" wrapText="1"/>
    </x:xf>
    <x:xf numFmtId="0" fontId="6" fillId="3" borderId="10" xfId="0" applyNumberFormat="1" applyFont="1" applyFill="1" applyBorder="1" applyAlignment="1">
      <x:alignment horizontal="center" vertical="top" wrapText="1"/>
    </x:xf>
    <x:xf numFmtId="0" fontId="6" fillId="3" borderId="12" xfId="0" applyNumberFormat="1" applyFont="1" applyFill="1" applyBorder="1" applyAlignment="1">
      <x:alignment horizontal="center" vertical="top" wrapText="1"/>
    </x:xf>
    <x:xf numFmtId="0" fontId="6" fillId="3" borderId="14" xfId="0" applyNumberFormat="1" applyFont="1" applyFill="1" applyBorder="1" applyAlignment="1">
      <x:alignment horizontal="center" vertical="top" wrapText="1"/>
    </x:xf>
    <x:xf numFmtId="0" fontId="5" fillId="7" borderId="10" xfId="0" applyNumberFormat="1" applyFont="1" applyFill="1" applyBorder="1" applyAlignment="1">
      <x:alignment vertical="top" wrapText="1"/>
    </x:xf>
    <x:xf numFmtId="0" fontId="5" fillId="7" borderId="12" xfId="0" applyNumberFormat="1" applyFont="1" applyFill="1" applyBorder="1" applyAlignment="1">
      <x:alignment vertical="top" wrapText="1"/>
    </x:xf>
    <x:xf numFmtId="0" fontId="5" fillId="7" borderId="14" xfId="0" applyNumberFormat="1" applyFont="1" applyFill="1" applyBorder="1" applyAlignment="1">
      <x:alignment vertical="top" wrapText="1"/>
    </x:xf>
    <x:xf numFmtId="0" fontId="8" fillId="7" borderId="10" xfId="0" applyNumberFormat="1" applyFont="1" applyFill="1" applyBorder="1" applyAlignment="1">
      <x:alignment vertical="top" wrapText="1"/>
    </x:xf>
    <x:xf numFmtId="0" fontId="8" fillId="7" borderId="12" xfId="0" applyNumberFormat="1" applyFont="1" applyFill="1" applyBorder="1" applyAlignment="1">
      <x:alignment vertical="top" wrapText="1"/>
    </x:xf>
    <x:xf numFmtId="0" fontId="8" fillId="7" borderId="14" xfId="0" applyNumberFormat="1" applyFont="1" applyFill="1" applyBorder="1" applyAlignment="1">
      <x:alignment vertical="top" wrapText="1"/>
    </x:xf>
    <x:xf numFmtId="0" fontId="8" fillId="7" borderId="10" xfId="0" applyNumberFormat="1" applyFont="1" applyFill="1" applyBorder="1" applyAlignment="1">
      <x:alignment horizontal="center" vertical="top" wrapText="1"/>
    </x:xf>
    <x:xf numFmtId="0" fontId="8" fillId="7" borderId="12" xfId="0" applyNumberFormat="1" applyFont="1" applyFill="1" applyBorder="1" applyAlignment="1">
      <x:alignment horizontal="center" vertical="top" wrapText="1"/>
    </x:xf>
    <x:xf numFmtId="0" fontId="8" fillId="7" borderId="14" xfId="0" applyNumberFormat="1" applyFont="1" applyFill="1" applyBorder="1" applyAlignment="1">
      <x:alignment horizontal="center" vertical="top" wrapText="1"/>
    </x:xf>
    <x:xf numFmtId="200" fontId="5" fillId="7" borderId="10" xfId="0" applyNumberFormat="1" applyFont="1" applyFill="1" applyBorder="1" applyAlignment="1">
      <x:alignment vertical="top" wrapText="1"/>
    </x:xf>
    <x:xf numFmtId="200" fontId="5" fillId="7" borderId="12" xfId="0" applyNumberFormat="1" applyFont="1" applyFill="1" applyBorder="1" applyAlignment="1">
      <x:alignment vertical="top" wrapText="1"/>
    </x:xf>
    <x:xf numFmtId="200" fontId="5" fillId="7" borderId="14" xfId="0" applyNumberFormat="1" applyFont="1" applyFill="1" applyBorder="1" applyAlignment="1">
      <x:alignment vertical="top" wrapText="1"/>
    </x:xf>
    <x:xf numFmtId="200" fontId="8" fillId="7" borderId="10" xfId="0" applyNumberFormat="1" applyFont="1" applyFill="1" applyBorder="1" applyAlignment="1">
      <x:alignment vertical="top" wrapText="1"/>
    </x:xf>
    <x:xf numFmtId="200" fontId="8" fillId="7" borderId="12" xfId="0" applyNumberFormat="1" applyFont="1" applyFill="1" applyBorder="1" applyAlignment="1">
      <x:alignment vertical="top" wrapText="1"/>
    </x:xf>
    <x:xf numFmtId="200" fontId="8" fillId="7" borderId="14" xfId="0" applyNumberFormat="1" applyFont="1" applyFill="1" applyBorder="1" applyAlignment="1">
      <x:alignment vertical="top" wrapText="1"/>
    </x:xf>
    <x:xf numFmtId="200" fontId="8" fillId="7" borderId="10" xfId="0" applyNumberFormat="1" applyFont="1" applyFill="1" applyBorder="1" applyAlignment="1">
      <x:alignment horizontal="right" vertical="top" wrapText="1"/>
    </x:xf>
    <x:xf numFmtId="200" fontId="8" fillId="7" borderId="12" xfId="0" applyNumberFormat="1" applyFont="1" applyFill="1" applyBorder="1" applyAlignment="1">
      <x:alignment horizontal="right" vertical="top" wrapText="1"/>
    </x:xf>
    <x:xf numFmtId="200" fontId="8" fillId="7" borderId="14" xfId="0" applyNumberFormat="1" applyFont="1" applyFill="1" applyBorder="1" applyAlignment="1">
      <x:alignment horizontal="right" vertical="top" wrapText="1"/>
    </x:xf>
    <x:xf numFmtId="0" fontId="9" fillId="2" borderId="0" xfId="0" applyNumberFormat="1" applyFont="1" applyFill="1" applyBorder="1" applyAlignment="1">
      <x:alignment horizontal="left" vertical="center"/>
    </x:xf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/>
    <x:xf numFmtId="0" fontId="11" fillId="4" borderId="2" xfId="0" applyNumberFormat="1" applyFont="1" applyFill="1" applyBorder="1"/>
    <x:xf numFmtId="0" fontId="12" fillId="0" borderId="2" xfId="0" applyNumberFormat="1" applyFont="1" applyFill="1" applyBorder="1"/>
    <x:xf numFmtId="0" fontId="12" fillId="0" borderId="3" xfId="0" applyNumberFormat="1" applyFont="1" applyFill="1" applyBorder="1"/>
    <x:xf numFmtId="0" fontId="11" fillId="4" borderId="4" xfId="0" applyNumberFormat="1" applyFont="1" applyFill="1" applyBorder="1"/>
    <x:xf numFmtId="0" fontId="11" fillId="4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5" xfId="0" applyNumberFormat="1" applyFont="1" applyFill="1" applyBorder="1"/>
    <x:xf numFmtId="0" fontId="11" fillId="4" borderId="6" xfId="0" applyNumberFormat="1" applyFont="1" applyFill="1" applyBorder="1"/>
    <x:xf numFmtId="0" fontId="11" fillId="4" borderId="7" xfId="0" applyNumberFormat="1" applyFont="1" applyFill="1" applyBorder="1"/>
    <x:xf numFmtId="0" fontId="12" fillId="0" borderId="7" xfId="0" applyNumberFormat="1" applyFont="1" applyFill="1" applyBorder="1"/>
    <x:xf numFmtId="0" fontId="12" fillId="0" borderId="8" xfId="0" applyNumberFormat="1" applyFont="1" applyFill="1" applyBorder="1"/>
    <x:xf numFmtId="0" fontId="13" fillId="2" borderId="9" xfId="0" applyNumberFormat="1" applyFont="1" applyFill="1" applyBorder="1" applyAlignment="1">
      <x:alignment horizontal="center" vertical="center" wrapText="1"/>
    </x:xf>
    <x:xf numFmtId="0" fontId="14" fillId="0" borderId="8" xfId="0" applyNumberFormat="1" applyFont="1" applyFill="1" applyBorder="1" applyAlignment="1">
      <x:alignment horizontal="center" vertical="top" wrapText="1"/>
    </x:xf>
    <x:xf numFmtId="0" fontId="15" fillId="3" borderId="10" xfId="0" applyNumberFormat="1" applyFont="1" applyFill="1" applyBorder="1" applyAlignment="1">
      <x:alignment vertical="top" wrapText="1"/>
    </x:xf>
    <x:xf numFmtId="0" fontId="14" fillId="0" borderId="10" xfId="0" applyNumberFormat="1" applyFont="1" applyFill="1" applyBorder="1" applyAlignment="1">
      <x:alignment vertical="top" wrapText="1"/>
    </x:xf>
    <x:xf numFmtId="0" fontId="14" fillId="0" borderId="10" xfId="0" applyNumberFormat="1" applyFont="1" applyFill="1" applyBorder="1" applyAlignment="1">
      <x:alignment horizontal="center" vertical="top" wrapText="1"/>
    </x:xf>
    <x:xf numFmtId="200" fontId="14" fillId="0" borderId="10" xfId="0" applyNumberFormat="1" applyFont="1" applyFill="1" applyBorder="1" applyAlignment="1">
      <x:alignment horizontal="center" vertical="top" wrapText="1"/>
    </x:xf>
    <x:xf numFmtId="200" fontId="14" fillId="0" borderId="10" xfId="0" applyNumberFormat="1" applyFont="1" applyFill="1" applyBorder="1" applyAlignment="1">
      <x:alignment vertical="top" wrapText="1"/>
    </x:xf>
    <x:xf numFmtId="0" fontId="14" fillId="0" borderId="6" xfId="0" applyNumberFormat="1" applyFont="1" applyFill="1" applyBorder="1" applyAlignment="1">
      <x:alignment vertical="top" wrapText="1"/>
    </x:xf>
    <x:xf numFmtId="0" fontId="14" fillId="0" borderId="11" xfId="0" applyNumberFormat="1" applyFont="1" applyFill="1" applyBorder="1" applyAlignment="1">
      <x:alignment horizontal="center" vertical="top" wrapText="1"/>
    </x:xf>
    <x:xf numFmtId="0" fontId="15" fillId="3" borderId="12" xfId="0" applyNumberFormat="1" applyFont="1" applyFill="1" applyBorder="1" applyAlignment="1">
      <x:alignment vertical="top" wrapText="1"/>
    </x:xf>
    <x:xf numFmtId="0" fontId="14" fillId="0" borderId="12" xfId="0" applyNumberFormat="1" applyFont="1" applyFill="1" applyBorder="1" applyAlignment="1">
      <x:alignment vertical="top" wrapText="1"/>
    </x:xf>
    <x:xf numFmtId="0" fontId="14" fillId="0" borderId="12" xfId="0" applyNumberFormat="1" applyFont="1" applyFill="1" applyBorder="1" applyAlignment="1">
      <x:alignment horizontal="center" vertical="top" wrapText="1"/>
    </x:xf>
    <x:xf numFmtId="200" fontId="14" fillId="0" borderId="12" xfId="0" applyNumberFormat="1" applyFont="1" applyFill="1" applyBorder="1" applyAlignment="1">
      <x:alignment horizontal="center" vertical="top" wrapText="1"/>
    </x:xf>
    <x:xf numFmtId="200" fontId="14" fillId="0" borderId="12" xfId="0" applyNumberFormat="1" applyFont="1" applyFill="1" applyBorder="1" applyAlignment="1">
      <x:alignment vertical="top" wrapText="1"/>
    </x:xf>
    <x:xf numFmtId="0" fontId="14" fillId="0" borderId="13" xfId="0" applyNumberFormat="1" applyFont="1" applyFill="1" applyBorder="1" applyAlignment="1">
      <x:alignment vertical="top" wrapText="1"/>
    </x:xf>
    <x:xf numFmtId="0" fontId="14" fillId="0" borderId="3" xfId="0" applyNumberFormat="1" applyFont="1" applyFill="1" applyBorder="1" applyAlignment="1">
      <x:alignment horizontal="center" vertical="top" wrapText="1"/>
    </x:xf>
    <x:xf numFmtId="0" fontId="15" fillId="3" borderId="14" xfId="0" applyNumberFormat="1" applyFont="1" applyFill="1" applyBorder="1" applyAlignment="1">
      <x:alignment vertical="top" wrapText="1"/>
    </x:xf>
    <x:xf numFmtId="0" fontId="14" fillId="0" borderId="14" xfId="0" applyNumberFormat="1" applyFont="1" applyFill="1" applyBorder="1" applyAlignment="1">
      <x:alignment vertical="top" wrapText="1"/>
    </x:xf>
    <x:xf numFmtId="0" fontId="14" fillId="0" borderId="14" xfId="0" applyNumberFormat="1" applyFont="1" applyFill="1" applyBorder="1" applyAlignment="1">
      <x:alignment horizontal="center" vertical="top" wrapText="1"/>
    </x:xf>
    <x:xf numFmtId="200" fontId="14" fillId="0" borderId="14" xfId="0" applyNumberFormat="1" applyFont="1" applyFill="1" applyBorder="1" applyAlignment="1">
      <x:alignment horizontal="center" vertical="top" wrapText="1"/>
    </x:xf>
    <x:xf numFmtId="200" fontId="14" fillId="0" borderId="14" xfId="0" applyNumberFormat="1" applyFont="1" applyFill="1" applyBorder="1" applyAlignment="1">
      <x:alignment vertical="top" wrapText="1"/>
    </x:xf>
    <x:xf numFmtId="0" fontId="14" fillId="0" borderId="1" xfId="0" applyNumberFormat="1" applyFont="1" applyFill="1" applyBorder="1" applyAlignment="1">
      <x:alignment vertical="top" wrapText="1"/>
    </x:xf>
    <x:xf numFmtId="0" fontId="11" fillId="4" borderId="8" xfId="0" applyNumberFormat="1" applyFont="1" applyFill="1" applyBorder="1" applyAlignment="1">
      <x:alignment wrapText="1"/>
    </x:xf>
    <x:xf numFmtId="0" fontId="11" fillId="4" borderId="10" xfId="0" applyNumberFormat="1" applyFont="1" applyFill="1" applyBorder="1" applyAlignment="1">
      <x:alignment wrapText="1"/>
    </x:xf>
    <x:xf numFmtId="200" fontId="11" fillId="4" borderId="10" xfId="0" applyNumberFormat="1" applyFont="1" applyFill="1" applyBorder="1" applyAlignment="1">
      <x:alignment wrapText="1"/>
    </x:xf>
    <x:xf numFmtId="0" fontId="11" fillId="4" borderId="6" xfId="0" applyNumberFormat="1" applyFont="1" applyFill="1" applyBorder="1" applyAlignment="1">
      <x:alignment wrapText="1"/>
    </x:xf>
    <x:xf numFmtId="0" fontId="11" fillId="4" borderId="3" xfId="0" applyNumberFormat="1" applyFont="1" applyFill="1" applyBorder="1" applyAlignment="1">
      <x:alignment wrapText="1"/>
    </x:xf>
    <x:xf numFmtId="0" fontId="11" fillId="4" borderId="14" xfId="0" applyNumberFormat="1" applyFont="1" applyFill="1" applyBorder="1" applyAlignment="1">
      <x:alignment wrapText="1"/>
    </x:xf>
    <x:xf numFmtId="201" fontId="11" fillId="4" borderId="14" xfId="0" applyNumberFormat="1" applyFont="1" applyFill="1" applyBorder="1" applyAlignment="1">
      <x:alignment wrapText="1"/>
    </x:xf>
    <x:xf numFmtId="200" fontId="11" fillId="4" borderId="14" xfId="0" applyNumberFormat="1" applyFont="1" applyFill="1" applyBorder="1" applyAlignment="1">
      <x:alignment wrapText="1"/>
    </x:xf>
    <x:xf numFmtId="0" fontId="11" fillId="4" borderId="1" xfId="0" applyNumberFormat="1" applyFont="1" applyFill="1" applyBorder="1" applyAlignment="1">
      <x:alignment wrapText="1"/>
    </x:xf>
    <x:xf numFmtId="0" fontId="16" fillId="5" borderId="15" xfId="0" applyNumberFormat="1" applyFont="1" applyFill="1" applyBorder="1" applyAlignment="1">
      <x:alignment wrapText="1"/>
    </x:xf>
    <x:xf numFmtId="0" fontId="16" fillId="5" borderId="16" xfId="0" applyNumberFormat="1" applyFont="1" applyFill="1" applyBorder="1" applyAlignment="1">
      <x:alignment wrapText="1"/>
    </x:xf>
    <x:xf numFmtId="200" fontId="16" fillId="5" borderId="16" xfId="0" applyNumberFormat="1" applyFont="1" applyFill="1" applyBorder="1" applyAlignment="1">
      <x:alignment wrapText="1"/>
    </x:xf>
    <x:xf numFmtId="0" fontId="16" fillId="5" borderId="17" xfId="0" applyNumberFormat="1" applyFont="1" applyFill="1" applyBorder="1" applyAlignment="1">
      <x:alignment wrapText="1"/>
    </x:xf>
    <x:xf numFmtId="0" fontId="16" fillId="2" borderId="0" xfId="0" applyNumberFormat="1" applyFont="1" applyFill="1" applyBorder="1" applyAlignment="1">
      <x:alignment vertical="center"/>
    </x:xf>
    <x:xf numFmtId="0" fontId="14" fillId="6" borderId="8" xfId="0" applyNumberFormat="1" applyFont="1" applyFill="1" applyBorder="1" applyAlignment="1">
      <x:alignment vertical="center" wrapText="1"/>
    </x:xf>
    <x:xf numFmtId="0" fontId="14" fillId="6" borderId="10" xfId="0" applyNumberFormat="1" applyFont="1" applyFill="1" applyBorder="1" applyAlignment="1">
      <x:alignment vertical="center" wrapText="1"/>
    </x:xf>
    <x:xf numFmtId="0" fontId="14" fillId="6" borderId="6" xfId="0" applyNumberFormat="1" applyFont="1" applyFill="1" applyBorder="1" applyAlignment="1">
      <x:alignment vertical="center" wrapText="1"/>
    </x:xf>
    <x:xf numFmtId="0" fontId="14" fillId="6" borderId="11" xfId="0" applyNumberFormat="1" applyFont="1" applyFill="1" applyBorder="1" applyAlignment="1">
      <x:alignment vertical="center" wrapText="1"/>
    </x:xf>
    <x:xf numFmtId="0" fontId="14" fillId="6" borderId="12" xfId="0" applyNumberFormat="1" applyFont="1" applyFill="1" applyBorder="1" applyAlignment="1">
      <x:alignment vertical="center" wrapText="1"/>
    </x:xf>
    <x:xf numFmtId="0" fontId="14" fillId="6" borderId="13" xfId="0" applyNumberFormat="1" applyFont="1" applyFill="1" applyBorder="1" applyAlignment="1">
      <x:alignment vertical="center" wrapText="1"/>
    </x:xf>
    <x:xf numFmtId="0" fontId="14" fillId="6" borderId="3" xfId="0" applyNumberFormat="1" applyFont="1" applyFill="1" applyBorder="1" applyAlignment="1">
      <x:alignment vertical="center" wrapText="1"/>
    </x:xf>
    <x:xf numFmtId="0" fontId="14" fillId="6" borderId="14" xfId="0" applyNumberFormat="1" applyFont="1" applyFill="1" applyBorder="1" applyAlignment="1">
      <x:alignment vertical="center" wrapText="1"/>
    </x:xf>
    <x:xf numFmtId="0" fontId="14" fillId="6" borderId="1" xfId="0" applyNumberFormat="1" applyFont="1" applyFill="1" applyBorder="1" applyAlignment="1">
      <x:alignment vertical="center" wrapText="1"/>
    </x:xf>
    <x:xf numFmtId="0" fontId="14" fillId="0" borderId="8" xfId="0" applyNumberFormat="1" applyFont="1" applyFill="1" applyBorder="1" applyAlignment="1">
      <x:alignment vertical="top" wrapText="1"/>
    </x:xf>
    <x:xf numFmtId="0" fontId="15" fillId="3" borderId="10" xfId="0" applyNumberFormat="1" applyFont="1" applyFill="1" applyBorder="1" applyAlignment="1">
      <x:alignment horizontal="center" vertical="top" wrapText="1"/>
    </x:xf>
    <x:xf numFmtId="0" fontId="17" fillId="7" borderId="10" xfId="0" applyNumberFormat="1" applyFont="1" applyFill="1" applyBorder="1" applyAlignment="1">
      <x:alignment horizontal="center" vertical="top" wrapText="1"/>
    </x:xf>
    <x:xf numFmtId="0" fontId="14" fillId="0" borderId="11" xfId="0" applyNumberFormat="1" applyFont="1" applyFill="1" applyBorder="1" applyAlignment="1">
      <x:alignment vertical="top" wrapText="1"/>
    </x:xf>
    <x:xf numFmtId="0" fontId="15" fillId="3" borderId="12" xfId="0" applyNumberFormat="1" applyFont="1" applyFill="1" applyBorder="1" applyAlignment="1">
      <x:alignment horizontal="center" vertical="top" wrapText="1"/>
    </x:xf>
    <x:xf numFmtId="0" fontId="17" fillId="7" borderId="12" xfId="0" applyNumberFormat="1" applyFont="1" applyFill="1" applyBorder="1" applyAlignment="1">
      <x:alignment horizontal="center" vertical="top" wrapText="1"/>
    </x:xf>
    <x:xf numFmtId="0" fontId="14" fillId="0" borderId="3" xfId="0" applyNumberFormat="1" applyFont="1" applyFill="1" applyBorder="1" applyAlignment="1">
      <x:alignment vertical="top" wrapText="1"/>
    </x:xf>
    <x:xf numFmtId="0" fontId="15" fillId="3" borderId="14" xfId="0" applyNumberFormat="1" applyFont="1" applyFill="1" applyBorder="1" applyAlignment="1">
      <x:alignment horizontal="center" vertical="top" wrapText="1"/>
    </x:xf>
    <x:xf numFmtId="0" fontId="17" fillId="7" borderId="14" xfId="0" applyNumberFormat="1" applyFont="1" applyFill="1" applyBorder="1" applyAlignment="1">
      <x:alignment horizontal="center" vertical="top" wrapText="1"/>
    </x:xf>
    <x:xf numFmtId="200" fontId="17" fillId="7" borderId="10" xfId="0" applyNumberFormat="1" applyFont="1" applyFill="1" applyBorder="1" applyAlignment="1">
      <x:alignment horizontal="right" vertical="top" wrapText="1"/>
    </x:xf>
    <x:xf numFmtId="200" fontId="17" fillId="7" borderId="12" xfId="0" applyNumberFormat="1" applyFont="1" applyFill="1" applyBorder="1" applyAlignment="1">
      <x:alignment horizontal="right" vertical="top" wrapText="1"/>
    </x:xf>
    <x:xf numFmtId="200" fontId="17" fillId="7" borderId="14" xfId="0" applyNumberFormat="1" applyFont="1" applyFill="1" applyBorder="1" applyAlignment="1">
      <x:alignment horizontal="right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6f18096dd84e50" /><Relationship Type="http://schemas.openxmlformats.org/officeDocument/2006/relationships/theme" Target="/xl/theme/theme1.xml" Id="R8bbfded49c6c4e4d" /><Relationship Type="http://schemas.openxmlformats.org/officeDocument/2006/relationships/sharedStrings" Target="/xl/sharedStrings.xml" Id="R9e24ba0440d14a50" /><Relationship Type="http://schemas.openxmlformats.org/officeDocument/2006/relationships/worksheet" Target="/xl/worksheets/sheet1.xml" Id="Ref50746215f040fd" /><Relationship Type="http://schemas.openxmlformats.org/officeDocument/2006/relationships/worksheet" Target="/xl/worksheets/sheet2.xml" Id="R4eb1986acd1643bb" /><Relationship Type="http://schemas.openxmlformats.org/officeDocument/2006/relationships/worksheet" Target="/xl/worksheets/sheet3.xml" Id="R489d5d6148044b7a" /><Relationship Type="http://schemas.openxmlformats.org/officeDocument/2006/relationships/worksheet" Target="/xl/worksheets/sheet4.xml" Id="R9f6b9b4dfecb462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" hidden="0" customWidth="1"/>
    <x:col min="2" max="2" width="18" hidden="0" customWidth="1"/>
    <x:col min="3" max="3" width="52" hidden="0" customWidth="1"/>
    <x:col min="4" max="4" width="8" hidden="0" customWidth="1"/>
    <x:col min="5" max="5" width="9" hidden="0" customWidth="1"/>
    <x:col min="6" max="6" width="15" hidden="0" customWidth="1"/>
    <x:col min="7" max="7" width="16" hidden="0" customWidth="1"/>
    <x:col min="8" max="8" width="42" hidden="0" customWidth="1"/>
  </x:cols>
  <x:sheetData>
    <x:row r="1" ht="34" customHeight="1">
      <x:c r="A1" s="151" t="str">
        <x:v>ПРЕДВАРИТЕЛЬНАЯ СМЕТА № KV-2026-07-18</x:v>
      </x:c>
      <x:c r="B1" s="151"/>
      <x:c r="C1" s="151"/>
      <x:c r="D1" s="151"/>
      <x:c r="E1" s="151"/>
      <x:c r="F1" s="151"/>
      <x:c r="G1" s="151"/>
      <x:c r="H1" s="151"/>
    </x:row>
    <x:row r="2" ht="30" customHeight="1">
      <x:c r="A2" s="152" t="str">
        <x:v>Мягкий визуальный ребрендинг сайта красволонтер.рф без изменения бизнес-логики и CMS</x:v>
      </x:c>
      <x:c r="B2" s="152"/>
      <x:c r="C2" s="152"/>
      <x:c r="D2" s="152"/>
      <x:c r="E2" s="152"/>
      <x:c r="F2" s="152"/>
      <x:c r="G2" s="152"/>
      <x:c r="H2" s="152"/>
    </x:row>
    <x:row r="3">
      <x:c r="A3" s="153" t="str">
        <x:v>Заказчик</x:v>
      </x:c>
      <x:c r="B3" s="154"/>
      <x:c r="C3" s="155" t="str">
        <x:v>Региональная общественная организация «Красволонтёр»</x:v>
      </x:c>
      <x:c r="D3" s="155"/>
      <x:c r="E3" s="155"/>
      <x:c r="F3" s="155"/>
      <x:c r="G3" s="155"/>
      <x:c r="H3" s="156"/>
    </x:row>
    <x:row r="4">
      <x:c r="A4" s="157" t="str">
        <x:v>Исполнитель</x:v>
      </x:c>
      <x:c r="B4" s="158"/>
      <x:c r="C4" s="159" t="str">
        <x:v>Студия цифровых сервисов Byte</x:v>
      </x:c>
      <x:c r="D4" s="159"/>
      <x:c r="E4" s="159"/>
      <x:c r="F4" s="159"/>
      <x:c r="G4" s="159"/>
      <x:c r="H4" s="160"/>
    </x:row>
    <x:row r="5">
      <x:c r="A5" s="157" t="str">
        <x:v>Дата оценки</x:v>
      </x:c>
      <x:c r="B5" s="158"/>
      <x:c r="C5" s="159" t="str">
        <x:v>18.07.2026</x:v>
      </x:c>
      <x:c r="D5" s="159"/>
      <x:c r="E5" s="159"/>
      <x:c r="F5" s="159"/>
      <x:c r="G5" s="159"/>
      <x:c r="H5" s="160"/>
    </x:row>
    <x:row r="6">
      <x:c r="A6" s="161" t="str">
        <x:v>Статус</x:v>
      </x:c>
      <x:c r="B6" s="162"/>
      <x:c r="C6" s="163" t="str">
        <x:v>Предварительная оценка по открытой части сайта</x:v>
      </x:c>
      <x:c r="D6" s="163"/>
      <x:c r="E6" s="163"/>
      <x:c r="F6" s="163"/>
      <x:c r="G6" s="163"/>
      <x:c r="H6" s="164"/>
    </x:row>
    <x:row r="7">
      <x:c r="A7" s="159"/>
      <x:c r="B7" s="159"/>
      <x:c r="C7" s="159"/>
      <x:c r="D7" s="159"/>
      <x:c r="E7" s="159"/>
      <x:c r="F7" s="159"/>
      <x:c r="G7" s="159"/>
      <x:c r="H7" s="159"/>
    </x:row>
    <x:row r="8" ht="32" customHeight="1">
      <x:c r="A8" s="165" t="str">
        <x:v>№</x:v>
      </x:c>
      <x:c r="B8" s="165" t="str">
        <x:v>Раздел</x:v>
      </x:c>
      <x:c r="C8" s="165" t="str">
        <x:v>Работа / результат</x:v>
      </x:c>
      <x:c r="D8" s="165" t="str">
        <x:v>Ед.</x:v>
      </x:c>
      <x:c r="E8" s="165" t="str">
        <x:v>Кол-во</x:v>
      </x:c>
      <x:c r="F8" s="165" t="str">
        <x:v>Цена за ед., ₽</x:v>
      </x:c>
      <x:c r="G8" s="165" t="str">
        <x:v>Стоимость, ₽</x:v>
      </x:c>
      <x:c r="H8" s="165" t="str">
        <x:v>Комментарий</x:v>
      </x:c>
    </x:row>
    <x:row r="9">
      <x:c r="A9" s="166" t="n">
        <x:v>1</x:v>
      </x:c>
      <x:c r="B9" s="167" t="str">
        <x:v>Исследование</x:v>
      </x:c>
      <x:c r="C9" s="168" t="str">
        <x:v>Техническая и визуальная инвентаризация шаблонов после получения исходников</x:v>
      </x:c>
      <x:c r="D9" s="169" t="str">
        <x:v>час</x:v>
      </x:c>
      <x:c r="E9" s="169" t="n">
        <x:v>20</x:v>
      </x:c>
      <x:c r="F9" s="170" t="n">
        <x:v>2500</x:v>
      </x:c>
      <x:c r="G9" s="171" t="n">
        <x:f>E9*F9</x:f>
        <x:v>50000</x:v>
      </x:c>
      <x:c r="H9" s="172" t="str">
        <x:v>Уточнение состава шаблонов и зон риска</x:v>
      </x:c>
    </x:row>
    <x:row r="10">
      <x:c r="A10" s="173" t="n">
        <x:v>2</x:v>
      </x:c>
      <x:c r="B10" s="174" t="str">
        <x:v>Арт-направление</x:v>
      </x:c>
      <x:c r="C10" s="175" t="str">
        <x:v>Два визуальных направления и утверждение одного направления ребрендинга</x:v>
      </x:c>
      <x:c r="D10" s="176" t="str">
        <x:v>час</x:v>
      </x:c>
      <x:c r="E10" s="176" t="n">
        <x:v>20</x:v>
      </x:c>
      <x:c r="F10" s="177" t="n">
        <x:v>2500</x:v>
      </x:c>
      <x:c r="G10" s="178" t="n">
        <x:f>E10*F10</x:f>
        <x:v>50000</x:v>
      </x:c>
      <x:c r="H10" s="179" t="str">
        <x:v>Сохраняется действующий логотип</x:v>
      </x:c>
    </x:row>
    <x:row r="11">
      <x:c r="A11" s="173" t="n">
        <x:v>3</x:v>
      </x:c>
      <x:c r="B11" s="174" t="str">
        <x:v>Дизайн-система</x:v>
      </x:c>
      <x:c r="C11" s="175" t="str">
        <x:v>Цвета, типографика, сетка, кнопки, формы, вкладки, фильтры, статусы и иконки</x:v>
      </x:c>
      <x:c r="D11" s="176" t="str">
        <x:v>час</x:v>
      </x:c>
      <x:c r="E11" s="176" t="n">
        <x:v>32</x:v>
      </x:c>
      <x:c r="F11" s="177" t="n">
        <x:v>2500</x:v>
      </x:c>
      <x:c r="G11" s="178" t="n">
        <x:f>E11*F11</x:f>
        <x:v>80000</x:v>
      </x:c>
      <x:c r="H11" s="179" t="str">
        <x:v>Единый UI-kit для всех шаблонов</x:v>
      </x:c>
    </x:row>
    <x:row r="12">
      <x:c r="A12" s="173" t="n">
        <x:v>4</x:v>
      </x:c>
      <x:c r="B12" s="174" t="str">
        <x:v>Глобальные элементы</x:v>
      </x:c>
      <x:c r="C12" s="175" t="str">
        <x:v>Шапка, навигация, поиск, вход/регистрация и мобильное меню</x:v>
      </x:c>
      <x:c r="D12" s="176" t="str">
        <x:v>час</x:v>
      </x:c>
      <x:c r="E12" s="176" t="n">
        <x:v>20</x:v>
      </x:c>
      <x:c r="F12" s="177" t="n">
        <x:v>2500</x:v>
      </x:c>
      <x:c r="G12" s="178" t="n">
        <x:f>E12*F12</x:f>
        <x:v>50000</x:v>
      </x:c>
      <x:c r="H12" s="179" t="str">
        <x:v>Настольные и мобильные состояния</x:v>
      </x:c>
    </x:row>
    <x:row r="13">
      <x:c r="A13" s="173" t="n">
        <x:v>5</x:v>
      </x:c>
      <x:c r="B13" s="174" t="str">
        <x:v>Глобальные элементы</x:v>
      </x:c>
      <x:c r="C13" s="175" t="str">
        <x:v>Футер, хлебные крошки, юридическая навигация и социальные ссылки</x:v>
      </x:c>
      <x:c r="D13" s="176" t="str">
        <x:v>час</x:v>
      </x:c>
      <x:c r="E13" s="176" t="n">
        <x:v>12</x:v>
      </x:c>
      <x:c r="F13" s="177" t="n">
        <x:v>2500</x:v>
      </x:c>
      <x:c r="G13" s="178" t="n">
        <x:f>E13*F13</x:f>
        <x:v>30000</x:v>
      </x:c>
      <x:c r="H13" s="179" t="str">
        <x:v>Без изменения текстов документов</x:v>
      </x:c>
    </x:row>
    <x:row r="14">
      <x:c r="A14" s="173" t="n">
        <x:v>6</x:v>
      </x:c>
      <x:c r="B14" s="174" t="str">
        <x:v>Главная страница</x:v>
      </x:c>
      <x:c r="C14" s="175" t="str">
        <x:v>Обновление первого экрана, CTA, событий, команды, рейтинга, новостей и партнёров</x:v>
      </x:c>
      <x:c r="D14" s="176" t="str">
        <x:v>час</x:v>
      </x:c>
      <x:c r="E14" s="176" t="n">
        <x:v>40</x:v>
      </x:c>
      <x:c r="F14" s="177" t="n">
        <x:v>2500</x:v>
      </x:c>
      <x:c r="G14" s="178" t="n">
        <x:f>E14*F14</x:f>
        <x:v>100000</x:v>
      </x:c>
      <x:c r="H14" s="179" t="str">
        <x:v>Один основной шаблон + адаптив</x:v>
      </x:c>
    </x:row>
    <x:row r="15">
      <x:c r="A15" s="173" t="n">
        <x:v>7</x:v>
      </x:c>
      <x:c r="B15" s="174" t="str">
        <x:v>Мероприятия</x:v>
      </x:c>
      <x:c r="C15" s="175" t="str">
        <x:v>Каталог: вкладки, фильтры, карточки, статусы, пагинация и пустые состояния</x:v>
      </x:c>
      <x:c r="D15" s="176" t="str">
        <x:v>час</x:v>
      </x:c>
      <x:c r="E15" s="176" t="n">
        <x:v>44</x:v>
      </x:c>
      <x:c r="F15" s="177" t="n">
        <x:v>2500</x:v>
      </x:c>
      <x:c r="G15" s="178" t="n">
        <x:f>E15*F15</x:f>
        <x:v>110000</x:v>
      </x:c>
      <x:c r="H15" s="179" t="str">
        <x:v>Для общего, краевого, вузовского, муниципального и иного разделов</x:v>
      </x:c>
    </x:row>
    <x:row r="16">
      <x:c r="A16" s="173" t="n">
        <x:v>8</x:v>
      </x:c>
      <x:c r="B16" s="174" t="str">
        <x:v>Мероприятия</x:v>
      </x:c>
      <x:c r="C16" s="175" t="str">
        <x:v>Детальная страница события и блок мотивационной программы</x:v>
      </x:c>
      <x:c r="D16" s="176" t="str">
        <x:v>час</x:v>
      </x:c>
      <x:c r="E16" s="176" t="n">
        <x:v>24</x:v>
      </x:c>
      <x:c r="F16" s="177" t="n">
        <x:v>2500</x:v>
      </x:c>
      <x:c r="G16" s="178" t="n">
        <x:f>E16*F16</x:f>
        <x:v>60000</x:v>
      </x:c>
      <x:c r="H16" s="179" t="str">
        <x:v>Без изменения сценария записи</x:v>
      </x:c>
    </x:row>
    <x:row r="17">
      <x:c r="A17" s="173" t="n">
        <x:v>9</x:v>
      </x:c>
      <x:c r="B17" s="174" t="str">
        <x:v>Команды</x:v>
      </x:c>
      <x:c r="C17" s="175" t="str">
        <x:v>Каталоги штабов/организаций и детальная страница команды</x:v>
      </x:c>
      <x:c r="D17" s="176" t="str">
        <x:v>час</x:v>
      </x:c>
      <x:c r="E17" s="176" t="n">
        <x:v>30</x:v>
      </x:c>
      <x:c r="F17" s="177" t="n">
        <x:v>2500</x:v>
      </x:c>
      <x:c r="G17" s="178" t="n">
        <x:f>E17*F17</x:f>
        <x:v>75000</x:v>
      </x:c>
      <x:c r="H17" s="179" t="str">
        <x:v>4 категории и общий детальный шаблон</x:v>
      </x:c>
    </x:row>
    <x:row r="18">
      <x:c r="A18" s="173" t="n">
        <x:v>10</x:v>
      </x:c>
      <x:c r="B18" s="174" t="str">
        <x:v>Рейтинг</x:v>
      </x:c>
      <x:c r="C18" s="175" t="str">
        <x:v>Поиск, территориальные вкладки, роли, таблица/карточки и показатели</x:v>
      </x:c>
      <x:c r="D18" s="176" t="str">
        <x:v>час</x:v>
      </x:c>
      <x:c r="E18" s="176" t="n">
        <x:v>28</x:v>
      </x:c>
      <x:c r="F18" s="177" t="n">
        <x:v>2500</x:v>
      </x:c>
      <x:c r="G18" s="178" t="n">
        <x:f>E18*F18</x:f>
        <x:v>70000</x:v>
      </x:c>
      <x:c r="H18" s="179" t="str">
        <x:v>Алгоритм начисления не изменяется</x:v>
      </x:c>
    </x:row>
    <x:row r="19">
      <x:c r="A19" s="173" t="n">
        <x:v>11</x:v>
      </x:c>
      <x:c r="B19" s="174" t="str">
        <x:v>Магазин</x:v>
      </x:c>
      <x:c r="C19" s="175" t="str">
        <x:v>Категории, товарные карточки, VOLюта, доступность и состояния обмена</x:v>
      </x:c>
      <x:c r="D19" s="176" t="str">
        <x:v>час</x:v>
      </x:c>
      <x:c r="E19" s="176" t="n">
        <x:v>32</x:v>
      </x:c>
      <x:c r="F19" s="177" t="n">
        <x:v>2500</x:v>
      </x:c>
      <x:c r="G19" s="178" t="n">
        <x:f>E19*F19</x:f>
        <x:v>80000</x:v>
      </x:c>
      <x:c r="H19" s="179" t="str">
        <x:v>Логика внутренней валюты не изменяется</x:v>
      </x:c>
    </x:row>
    <x:row r="20">
      <x:c r="A20" s="173" t="n">
        <x:v>12</x:v>
      </x:c>
      <x:c r="B20" s="174" t="str">
        <x:v>Контентные разделы</x:v>
      </x:c>
      <x:c r="C20" s="175" t="str">
        <x:v>Новости, документы, контакты и юридические страницы</x:v>
      </x:c>
      <x:c r="D20" s="176" t="str">
        <x:v>час</x:v>
      </x:c>
      <x:c r="E20" s="176" t="n">
        <x:v>28</x:v>
      </x:c>
      <x:c r="F20" s="177" t="n">
        <x:v>2500</x:v>
      </x:c>
      <x:c r="G20" s="178" t="n">
        <x:f>E20*F20</x:f>
        <x:v>70000</x:v>
      </x:c>
      <x:c r="H20" s="179" t="str">
        <x:v>Унификация нескольких простых шаблонов</x:v>
      </x:c>
    </x:row>
    <x:row r="21">
      <x:c r="A21" s="173" t="n">
        <x:v>13</x:v>
      </x:c>
      <x:c r="B21" s="174" t="str">
        <x:v>Формы</x:v>
      </x:c>
      <x:c r="C21" s="175" t="str">
        <x:v>Вход, регистрация, восстановление доступа, модальные окна, ошибки и подтверждения</x:v>
      </x:c>
      <x:c r="D21" s="176" t="str">
        <x:v>час</x:v>
      </x:c>
      <x:c r="E21" s="176" t="n">
        <x:v>24</x:v>
      </x:c>
      <x:c r="F21" s="177" t="n">
        <x:v>2500</x:v>
      </x:c>
      <x:c r="G21" s="178" t="n">
        <x:f>E21*F21</x:f>
        <x:v>60000</x:v>
      </x:c>
      <x:c r="H21" s="179" t="str">
        <x:v>Только визуальная часть существующих сценариев</x:v>
      </x:c>
    </x:row>
    <x:row r="22">
      <x:c r="A22" s="173" t="n">
        <x:v>14</x:v>
      </x:c>
      <x:c r="B22" s="174" t="str">
        <x:v>Профили</x:v>
      </x:c>
      <x:c r="C22" s="175" t="str">
        <x:v>Публичный профиль пользователя и общие системные состояния</x:v>
      </x:c>
      <x:c r="D22" s="176" t="str">
        <x:v>час</x:v>
      </x:c>
      <x:c r="E22" s="176" t="n">
        <x:v>24</x:v>
      </x:c>
      <x:c r="F22" s="177" t="n">
        <x:v>2500</x:v>
      </x:c>
      <x:c r="G22" s="178" t="n">
        <x:f>E22*F22</x:f>
        <x:v>60000</x:v>
      </x:c>
      <x:c r="H22" s="179" t="str">
        <x:v>Закрытые страницы уточняются после доступа</x:v>
      </x:c>
    </x:row>
    <x:row r="23">
      <x:c r="A23" s="173" t="n">
        <x:v>15</x:v>
      </x:c>
      <x:c r="B23" s="174" t="str">
        <x:v>Адаптивность</x:v>
      </x:c>
      <x:c r="C23" s="175" t="str">
        <x:v>Настройка всех согласованных шаблонов для мобильных и планшетов</x:v>
      </x:c>
      <x:c r="D23" s="176" t="str">
        <x:v>час</x:v>
      </x:c>
      <x:c r="E23" s="176" t="n">
        <x:v>32</x:v>
      </x:c>
      <x:c r="F23" s="177" t="n">
        <x:v>2500</x:v>
      </x:c>
      <x:c r="G23" s="178" t="n">
        <x:f>E23*F23</x:f>
        <x:v>80000</x:v>
      </x:c>
      <x:c r="H23" s="179" t="str">
        <x:v>Контрольные ширины 360–1440 px</x:v>
      </x:c>
    </x:row>
    <x:row r="24">
      <x:c r="A24" s="173" t="n">
        <x:v>16</x:v>
      </x:c>
      <x:c r="B24" s="174" t="str">
        <x:v>Микроанимация</x:v>
      </x:c>
      <x:c r="C24" s="175" t="str">
        <x:v>Переходы, hover/focus/pressed, загрузка и появление блоков</x:v>
      </x:c>
      <x:c r="D24" s="176" t="str">
        <x:v>час</x:v>
      </x:c>
      <x:c r="E24" s="176" t="n">
        <x:v>20</x:v>
      </x:c>
      <x:c r="F24" s="177" t="n">
        <x:v>2500</x:v>
      </x:c>
      <x:c r="G24" s="178" t="n">
        <x:f>E24*F24</x:f>
        <x:v>50000</x:v>
      </x:c>
      <x:c r="H24" s="179" t="str">
        <x:v>Без тяжёлой 3D-анимации</x:v>
      </x:c>
    </x:row>
    <x:row r="25">
      <x:c r="A25" s="173" t="n">
        <x:v>17</x:v>
      </x:c>
      <x:c r="B25" s="174" t="str">
        <x:v>Доступность</x:v>
      </x:c>
      <x:c r="C25" s="175" t="str">
        <x:v>Контраст, клавиатурный фокус, подписи форм, размеры зон нажатия</x:v>
      </x:c>
      <x:c r="D25" s="176" t="str">
        <x:v>час</x:v>
      </x:c>
      <x:c r="E25" s="176" t="n">
        <x:v>16</x:v>
      </x:c>
      <x:c r="F25" s="177" t="n">
        <x:v>2500</x:v>
      </x:c>
      <x:c r="G25" s="178" t="n">
        <x:f>E25*F25</x:f>
        <x:v>40000</x:v>
      </x:c>
      <x:c r="H25" s="179" t="str">
        <x:v>Цель — WCAG AA для ключевых сценариев</x:v>
      </x:c>
    </x:row>
    <x:row r="26">
      <x:c r="A26" s="173" t="n">
        <x:v>18</x:v>
      </x:c>
      <x:c r="B26" s="174" t="str">
        <x:v>Внедрение</x:v>
      </x:c>
      <x:c r="C26" s="175" t="str">
        <x:v>Фронтенд-интеграция дизайн-системы в существующие шаблоны CMS</x:v>
      </x:c>
      <x:c r="D26" s="176" t="str">
        <x:v>час</x:v>
      </x:c>
      <x:c r="E26" s="176" t="n">
        <x:v>48</x:v>
      </x:c>
      <x:c r="F26" s="177" t="n">
        <x:v>2500</x:v>
      </x:c>
      <x:c r="G26" s="178" t="n">
        <x:f>E26*F26</x:f>
        <x:v>120000</x:v>
      </x:c>
      <x:c r="H26" s="179" t="str">
        <x:v>CSS/JS/шаблоны без переработки серверной логики</x:v>
      </x:c>
    </x:row>
    <x:row r="27">
      <x:c r="A27" s="173" t="n">
        <x:v>19</x:v>
      </x:c>
      <x:c r="B27" s="174" t="str">
        <x:v>QA</x:v>
      </x:c>
      <x:c r="C27" s="175" t="str">
        <x:v>Кроссбраузерная, адаптивная и визуальная регрессионная проверка</x:v>
      </x:c>
      <x:c r="D27" s="176" t="str">
        <x:v>час</x:v>
      </x:c>
      <x:c r="E27" s="176" t="n">
        <x:v>24</x:v>
      </x:c>
      <x:c r="F27" s="177" t="n">
        <x:v>2500</x:v>
      </x:c>
      <x:c r="G27" s="178" t="n">
        <x:f>E27*F27</x:f>
        <x:v>60000</x:v>
      </x:c>
      <x:c r="H27" s="179" t="str">
        <x:v>Chrome, Safari, Firefox, Edge</x:v>
      </x:c>
    </x:row>
    <x:row r="28">
      <x:c r="A28" s="180" t="n">
        <x:v>20</x:v>
      </x:c>
      <x:c r="B28" s="181" t="str">
        <x:v>Управление</x:v>
      </x:c>
      <x:c r="C28" s="182" t="str">
        <x:v>Планирование, демонстрации, протоколирование правок и передача материалов</x:v>
      </x:c>
      <x:c r="D28" s="183" t="str">
        <x:v>час</x:v>
      </x:c>
      <x:c r="E28" s="183" t="n">
        <x:v>20</x:v>
      </x:c>
      <x:c r="F28" s="184" t="n">
        <x:v>2500</x:v>
      </x:c>
      <x:c r="G28" s="185" t="n">
        <x:f>E28*F28</x:f>
        <x:v>50000</x:v>
      </x:c>
      <x:c r="H28" s="186" t="str">
        <x:v>До 3 согласовательных итераций по ключевым макетам</x:v>
      </x:c>
    </x:row>
    <x:row r="29">
      <x:c r="A29" s="187" t="str">
        <x:v>Стоимость работ до пакетной скидки</x:v>
      </x:c>
      <x:c r="B29" s="188"/>
      <x:c r="C29" s="188"/>
      <x:c r="D29" s="188"/>
      <x:c r="E29" s="188"/>
      <x:c r="F29" s="188"/>
      <x:c r="G29" s="189" t="n">
        <x:f>SUM(G9:G28)</x:f>
        <x:v>1345000</x:v>
      </x:c>
      <x:c r="H29" s="190" t="str">
        <x:v>Расчётная база</x:v>
      </x:c>
    </x:row>
    <x:row r="30">
      <x:c r="A30" s="191" t="str">
        <x:v>Пакетная скидка на комплексный проект</x:v>
      </x:c>
      <x:c r="B30" s="192"/>
      <x:c r="C30" s="192"/>
      <x:c r="D30" s="192"/>
      <x:c r="E30" s="192"/>
      <x:c r="F30" s="193" t="n">
        <x:v>0.12</x:v>
      </x:c>
      <x:c r="G30" s="194" t="n">
        <x:f>-G29*F30</x:f>
        <x:v>-161400</x:v>
      </x:c>
      <x:c r="H30" s="195" t="str">
        <x:v>Применяется при заказе полного комплекса</x:v>
      </x:c>
    </x:row>
    <x:row r="31" ht="34" customHeight="1">
      <x:c r="A31" s="196" t="str">
        <x:v>ИТОГО К ОПЛАТЕ ПО ОСНОВНОМУ ОБЪЁМУ</x:v>
      </x:c>
      <x:c r="B31" s="197"/>
      <x:c r="C31" s="197"/>
      <x:c r="D31" s="197"/>
      <x:c r="E31" s="197"/>
      <x:c r="F31" s="197"/>
      <x:c r="G31" s="198" t="n">
        <x:f>G29+G30</x:f>
        <x:v>1183600</x:v>
      </x:c>
      <x:c r="H31" s="199" t="str">
        <x:v>НДС не включён; налоговый статус фиксируется в договоре</x:v>
      </x:c>
    </x:row>
    <x:row r="32">
      <x:c r="A32" s="159"/>
      <x:c r="B32" s="159"/>
      <x:c r="C32" s="159"/>
      <x:c r="D32" s="159"/>
      <x:c r="E32" s="159"/>
      <x:c r="F32" s="159"/>
      <x:c r="G32" s="159"/>
      <x:c r="H32" s="159"/>
    </x:row>
    <x:row r="33">
      <x:c r="A33" s="200" t="str">
        <x:v>КОММЕРЧЕСКИЕ УСЛОВИЯ</x:v>
      </x:c>
      <x:c r="B33" s="200"/>
      <x:c r="C33" s="200"/>
      <x:c r="D33" s="200"/>
      <x:c r="E33" s="200"/>
      <x:c r="F33" s="200"/>
      <x:c r="G33" s="200"/>
      <x:c r="H33" s="200"/>
    </x:row>
    <x:row r="34" ht="29" customHeight="1">
      <x:c r="A34" s="201" t="str">
        <x:v>Срок выполнения: ориентировочно 10–14 недель после доступа к исходникам и утверждения календаря.</x:v>
      </x:c>
      <x:c r="B34" s="202"/>
      <x:c r="C34" s="202"/>
      <x:c r="D34" s="202"/>
      <x:c r="E34" s="202"/>
      <x:c r="F34" s="202"/>
      <x:c r="G34" s="202"/>
      <x:c r="H34" s="203"/>
    </x:row>
    <x:row r="35" ht="29" customHeight="1">
      <x:c r="A35" s="204" t="str">
        <x:v>Оплата: рекомендуемо 30% аванс / 30% после утверждения дизайн-системы / 30% после внедрения / 10% после приёмки.</x:v>
      </x:c>
      <x:c r="B35" s="205"/>
      <x:c r="C35" s="205"/>
      <x:c r="D35" s="205"/>
      <x:c r="E35" s="205"/>
      <x:c r="F35" s="205"/>
      <x:c r="G35" s="205"/>
      <x:c r="H35" s="206"/>
    </x:row>
    <x:row r="36" ht="29" customHeight="1">
      <x:c r="A36" s="204" t="str">
        <x:v>Оценка действительна 30 календарных дней и может быть уточнена до ±15% после технического обследования закрытой части и исходников.</x:v>
      </x:c>
      <x:c r="B36" s="205"/>
      <x:c r="C36" s="205"/>
      <x:c r="D36" s="205"/>
      <x:c r="E36" s="205"/>
      <x:c r="F36" s="205"/>
      <x:c r="G36" s="205"/>
      <x:c r="H36" s="206"/>
    </x:row>
    <x:row r="37" ht="29" customHeight="1">
      <x:c r="A37" s="204" t="str">
        <x:v>Включено до 3 итераций согласования ключевых макетов; дополнительные концепции и изменения утверждённого направления оцениваются отдельно.</x:v>
      </x:c>
      <x:c r="B37" s="205"/>
      <x:c r="C37" s="205"/>
      <x:c r="D37" s="205"/>
      <x:c r="E37" s="205"/>
      <x:c r="F37" s="205"/>
      <x:c r="G37" s="205"/>
      <x:c r="H37" s="206"/>
    </x:row>
    <x:row r="38" ht="29" customHeight="1">
      <x:c r="A38" s="204" t="str">
        <x:v>Не включены: новый логотип, backend, изменение базы данных и алгоритмов, миграция CMS, полная редактура контента, фотосъёмка, иллюстрации и платные лицензии.</x:v>
      </x:c>
      <x:c r="B38" s="205"/>
      <x:c r="C38" s="205"/>
      <x:c r="D38" s="205"/>
      <x:c r="E38" s="205"/>
      <x:c r="F38" s="205"/>
      <x:c r="G38" s="205"/>
      <x:c r="H38" s="206"/>
    </x:row>
    <x:row r="39" ht="29" customHeight="1">
      <x:c r="A39" s="207" t="str">
        <x:v>Исходная страница аудита: https://красволонтер.рф/events/munitsipalitety/</x:v>
      </x:c>
      <x:c r="B39" s="208"/>
      <x:c r="C39" s="208"/>
      <x:c r="D39" s="208"/>
      <x:c r="E39" s="208"/>
      <x:c r="F39" s="208"/>
      <x:c r="G39" s="208"/>
      <x:c r="H39" s="209"/>
    </x:row>
  </x:sheetData>
  <x:mergeCells>
    <x:mergeCell ref="A1:H1"/>
    <x:mergeCell ref="A2:H2"/>
    <x:mergeCell ref="A3:B3"/>
    <x:mergeCell ref="A4:B4"/>
    <x:mergeCell ref="A5:B5"/>
    <x:mergeCell ref="A6:B6"/>
    <x:mergeCell ref="C3:H3"/>
    <x:mergeCell ref="C4:H4"/>
    <x:mergeCell ref="C5:H5"/>
    <x:mergeCell ref="C6:H6"/>
    <x:mergeCell ref="A29:F29"/>
    <x:mergeCell ref="A30:F30"/>
    <x:mergeCell ref="A31:F31"/>
    <x:mergeCell ref="A33:H33"/>
    <x:mergeCell ref="A34:H34"/>
    <x:mergeCell ref="A35:H35"/>
    <x:mergeCell ref="A36:H36"/>
    <x:mergeCell ref="A37:H37"/>
    <x:mergeCell ref="A38:H38"/>
    <x:mergeCell ref="A39:H3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3" hidden="0" customWidth="1"/>
    <x:col min="3" max="3" width="38" hidden="0" customWidth="1"/>
    <x:col min="4" max="4" width="15" hidden="0" customWidth="1"/>
    <x:col min="5" max="5" width="13" hidden="0" customWidth="1"/>
    <x:col min="6" max="6" width="42" hidden="0" customWidth="1"/>
  </x:cols>
  <x:sheetData>
    <x:row r="1" ht="34" customHeight="1">
      <x:c r="A1" s="151" t="str">
        <x:v>ОБЪЁМ, ДОПУЩЕНИЯ И ГРАНИЦЫ</x:v>
      </x:c>
      <x:c r="B1" s="151"/>
      <x:c r="C1" s="151"/>
      <x:c r="D1" s="151"/>
      <x:c r="E1" s="151"/>
      <x:c r="F1" s="151"/>
    </x:row>
    <x:row r="2" ht="30" customHeight="1">
      <x:c r="A2" s="152" t="str">
        <x:v>Основание для предварительной оценки визуального ребрендинга</x:v>
      </x:c>
      <x:c r="B2" s="152"/>
      <x:c r="C2" s="152"/>
      <x:c r="D2" s="152"/>
      <x:c r="E2" s="152"/>
      <x:c r="F2" s="152"/>
    </x:row>
    <x:row r="3">
      <x:c r="A3" s="159"/>
      <x:c r="B3" s="159"/>
      <x:c r="C3" s="159"/>
      <x:c r="D3" s="159"/>
      <x:c r="E3" s="159"/>
      <x:c r="F3" s="159"/>
    </x:row>
    <x:row r="4" ht="32" customHeight="1">
      <x:c r="A4" s="165" t="str">
        <x:v>Параметр</x:v>
      </x:c>
      <x:c r="B4" s="165" t="str">
        <x:v>Значение</x:v>
      </x:c>
      <x:c r="C4" s="165" t="str">
        <x:v>Основание</x:v>
      </x:c>
      <x:c r="D4" s="165" t="str">
        <x:v>Включено</x:v>
      </x:c>
      <x:c r="E4" s="165" t="str">
        <x:v>Риск</x:v>
      </x:c>
      <x:c r="F4" s="165" t="str">
        <x:v>Уточнение после доступа</x:v>
      </x:c>
    </x:row>
    <x:row r="5">
      <x:c r="A5" s="210" t="str">
        <x:v>Тип проекта</x:v>
      </x:c>
      <x:c r="B5" s="168" t="str">
        <x:v>Мягкий визуальный ребрендинг</x:v>
      </x:c>
      <x:c r="C5" s="168" t="str">
        <x:v>Задача заказчика</x:v>
      </x:c>
      <x:c r="D5" s="211" t="str">
        <x:v>Да</x:v>
      </x:c>
      <x:c r="E5" s="212" t="str">
        <x:v>Низкий</x:v>
      </x:c>
      <x:c r="F5" s="172" t="str">
        <x:v>Подтвердить отсутствие функциональных изменений</x:v>
      </x:c>
    </x:row>
    <x:row r="6">
      <x:c r="A6" s="213" t="str">
        <x:v>Платформа</x:v>
      </x:c>
      <x:c r="B6" s="175" t="str">
        <x:v>Существующая CMS, вероятно 1С-Битрикс</x:v>
      </x:c>
      <x:c r="C6" s="175" t="str">
        <x:v>URL /upload/iblock/, arrFilter, PAGEN_1</x:v>
      </x:c>
      <x:c r="D6" s="214" t="str">
        <x:v>Сохраняется</x:v>
      </x:c>
      <x:c r="E6" s="215" t="str">
        <x:v>Средний</x:v>
      </x:c>
      <x:c r="F6" s="179" t="str">
        <x:v>Проверить редакцию, шаблоны и сборку</x:v>
      </x:c>
    </x:row>
    <x:row r="7">
      <x:c r="A7" s="213" t="str">
        <x:v>Общий каталог событий</x:v>
      </x:c>
      <x:c r="B7" s="175" t="str">
        <x:v>69 страниц выдачи</x:v>
      </x:c>
      <x:c r="C7" s="175" t="str">
        <x:v>Открытая пагинация /events/</x:v>
      </x:c>
      <x:c r="D7" s="214" t="str">
        <x:v>Да</x:v>
      </x:c>
      <x:c r="E7" s="215" t="str">
        <x:v>Средний</x:v>
      </x:c>
      <x:c r="F7" s="179" t="str">
        <x:v>Проверить архивы и закрытые статусы</x:v>
      </x:c>
    </x:row>
    <x:row r="8">
      <x:c r="A8" s="213" t="str">
        <x:v>Объём событий</x:v>
      </x:c>
      <x:c r="B8" s="175" t="str">
        <x:v>Ориентировочно &gt;1 300 карточек</x:v>
      </x:c>
      <x:c r="C8" s="175" t="str">
        <x:v>Около 20 событий на страницу</x:v>
      </x:c>
      <x:c r="D8" s="214" t="str">
        <x:v>Шаблонно</x:v>
      </x:c>
      <x:c r="E8" s="215" t="str">
        <x:v>Низкий</x:v>
      </x:c>
      <x:c r="F8" s="179" t="str">
        <x:v>Контент не редактируется вручную</x:v>
      </x:c>
    </x:row>
    <x:row r="9">
      <x:c r="A9" s="213" t="str">
        <x:v>Муниципальные события</x:v>
      </x:c>
      <x:c r="B9" s="175" t="str">
        <x:v>11 муниципалитетов и 11 страниц выдачи</x:v>
      </x:c>
      <x:c r="C9" s="175" t="str">
        <x:v>Открытая часть /events/munitsipalitety/</x:v>
      </x:c>
      <x:c r="D9" s="214" t="str">
        <x:v>Да</x:v>
      </x:c>
      <x:c r="E9" s="215" t="str">
        <x:v>Низкий</x:v>
      </x:c>
      <x:c r="F9" s="179" t="str">
        <x:v>Проверить полноту справочника</x:v>
      </x:c>
    </x:row>
    <x:row r="10">
      <x:c r="A10" s="213" t="str">
        <x:v>Типы каталогов</x:v>
      </x:c>
      <x:c r="B10" s="175" t="str">
        <x:v>Общий, краевой, вузы, муниципалитеты, иные</x:v>
      </x:c>
      <x:c r="C10" s="175" t="str">
        <x:v>Навигация раздела</x:v>
      </x:c>
      <x:c r="D10" s="214" t="str">
        <x:v>Да</x:v>
      </x:c>
      <x:c r="E10" s="215" t="str">
        <x:v>Средний</x:v>
      </x:c>
      <x:c r="F10" s="179" t="str">
        <x:v>Проверить различия шаблонов</x:v>
      </x:c>
    </x:row>
    <x:row r="11">
      <x:c r="A11" s="213" t="str">
        <x:v>Команды</x:v>
      </x:c>
      <x:c r="B11" s="175" t="str">
        <x:v>4 категории и &gt;20 типовых детальных страниц</x:v>
      </x:c>
      <x:c r="C11" s="175" t="str">
        <x:v>Открытая навигация раздела</x:v>
      </x:c>
      <x:c r="D11" s="214" t="str">
        <x:v>Да</x:v>
      </x:c>
      <x:c r="E11" s="215" t="str">
        <x:v>Средний</x:v>
      </x:c>
      <x:c r="F11" s="179" t="str">
        <x:v>Проверить личные роли и права</x:v>
      </x:c>
    </x:row>
    <x:row r="12">
      <x:c r="A12" s="213" t="str">
        <x:v>Магазин</x:v>
      </x:c>
      <x:c r="B12" s="175" t="str">
        <x:v>7 товарных секций, обмен за VOLюту</x:v>
      </x:c>
      <x:c r="C12" s="175" t="str">
        <x:v>Открытая страница магазина</x:v>
      </x:c>
      <x:c r="D12" s="214" t="str">
        <x:v>Визуально</x:v>
      </x:c>
      <x:c r="E12" s="215" t="str">
        <x:v>Высокий</x:v>
      </x:c>
      <x:c r="F12" s="179" t="str">
        <x:v>Логика обмена и остатки не меняются</x:v>
      </x:c>
    </x:row>
    <x:row r="13">
      <x:c r="A13" s="213" t="str">
        <x:v>Рейтинг</x:v>
      </x:c>
      <x:c r="B13" s="175" t="str">
        <x:v>Фильтры, роли, поиск, показатели</x:v>
      </x:c>
      <x:c r="C13" s="175" t="str">
        <x:v>Открытая страница рейтинга</x:v>
      </x:c>
      <x:c r="D13" s="214" t="str">
        <x:v>Визуально</x:v>
      </x:c>
      <x:c r="E13" s="215" t="str">
        <x:v>Высокий</x:v>
      </x:c>
      <x:c r="F13" s="179" t="str">
        <x:v>Алгоритм расчёта не входит</x:v>
      </x:c>
    </x:row>
    <x:row r="14">
      <x:c r="A14" s="213" t="str">
        <x:v>Авторизация</x:v>
      </x:c>
      <x:c r="B14" s="175" t="str">
        <x:v>Вход, регистрация, восстановление, модальные формы</x:v>
      </x:c>
      <x:c r="C14" s="175" t="str">
        <x:v>Формы загружаются на публичных страницах</x:v>
      </x:c>
      <x:c r="D14" s="214" t="str">
        <x:v>Визуально</x:v>
      </x:c>
      <x:c r="E14" s="215" t="str">
        <x:v>Высокий</x:v>
      </x:c>
      <x:c r="F14" s="179" t="str">
        <x:v>Проверить все ошибки и закрытые состояния</x:v>
      </x:c>
    </x:row>
    <x:row r="15">
      <x:c r="A15" s="213" t="str">
        <x:v>Обучение</x:v>
      </x:c>
      <x:c r="B15" s="175" t="str">
        <x:v>Закрытая/авторизованная зона</x:v>
      </x:c>
      <x:c r="C15" s="175" t="str">
        <x:v>Публичная ссылка переводит к авторизации</x:v>
      </x:c>
      <x:c r="D15" s="214" t="str">
        <x:v>Частично</x:v>
      </x:c>
      <x:c r="E15" s="215" t="str">
        <x:v>Высокий</x:v>
      </x:c>
      <x:c r="F15" s="179" t="str">
        <x:v>Оценить после предоставления доступа</x:v>
      </x:c>
    </x:row>
    <x:row r="16">
      <x:c r="A16" s="213" t="str">
        <x:v>Контент</x:v>
      </x:c>
      <x:c r="B16" s="175" t="str">
        <x:v>Тексты и медиаматериалы сохраняются</x:v>
      </x:c>
      <x:c r="C16" s="175" t="str">
        <x:v>Формат мягкого ребрендинга</x:v>
      </x:c>
      <x:c r="D16" s="214" t="str">
        <x:v>Нет</x:v>
      </x:c>
      <x:c r="E16" s="215" t="str">
        <x:v>Средний</x:v>
      </x:c>
      <x:c r="F16" s="179" t="str">
        <x:v>Редактура и новые материалы отдельно</x:v>
      </x:c>
    </x:row>
    <x:row r="17">
      <x:c r="A17" s="213" t="str">
        <x:v>Логотип</x:v>
      </x:c>
      <x:c r="B17" s="175" t="str">
        <x:v>Сохраняется</x:v>
      </x:c>
      <x:c r="C17" s="175" t="str">
        <x:v>Задача без полной смены бренда</x:v>
      </x:c>
      <x:c r="D17" s="214" t="str">
        <x:v>Адаптация</x:v>
      </x:c>
      <x:c r="E17" s="215" t="str">
        <x:v>Низкий</x:v>
      </x:c>
      <x:c r="F17" s="179" t="str">
        <x:v>Новый знак — отдельная опция</x:v>
      </x:c>
    </x:row>
    <x:row r="18">
      <x:c r="A18" s="213" t="str">
        <x:v>Браузеры</x:v>
      </x:c>
      <x:c r="B18" s="175" t="str">
        <x:v>Chrome, Safari, Firefox, Edge</x:v>
      </x:c>
      <x:c r="C18" s="175" t="str">
        <x:v>Базовая проверка</x:v>
      </x:c>
      <x:c r="D18" s="214" t="str">
        <x:v>Да</x:v>
      </x:c>
      <x:c r="E18" s="215" t="str">
        <x:v>Средний</x:v>
      </x:c>
      <x:c r="F18" s="179" t="str">
        <x:v>Версии фиксируются в ТЗ</x:v>
      </x:c>
    </x:row>
    <x:row r="19">
      <x:c r="A19" s="216" t="str">
        <x:v>Итерации</x:v>
      </x:c>
      <x:c r="B19" s="182" t="str">
        <x:v>До 3 по ключевым макетам</x:v>
      </x:c>
      <x:c r="C19" s="182" t="str">
        <x:v>Условие сметы</x:v>
      </x:c>
      <x:c r="D19" s="217" t="str">
        <x:v>Да</x:v>
      </x:c>
      <x:c r="E19" s="218" t="str">
        <x:v>Средний</x:v>
      </x:c>
      <x:c r="F19" s="186" t="str">
        <x:v>Последующие правки по ставке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" hidden="0" customWidth="1"/>
    <x:col min="2" max="2" width="27" hidden="0" customWidth="1"/>
    <x:col min="3" max="3" width="55" hidden="0" customWidth="1"/>
    <x:col min="4" max="4" width="30" hidden="0" customWidth="1"/>
    <x:col min="5" max="5" width="17" hidden="0" customWidth="1"/>
    <x:col min="6" max="6" width="50" hidden="0" customWidth="1"/>
  </x:cols>
  <x:sheetData>
    <x:row r="1" ht="34" customHeight="1">
      <x:c r="A1" s="151" t="str">
        <x:v>КАРТА ШАБЛОНОВ САЙТА</x:v>
      </x:c>
      <x:c r="B1" s="151"/>
      <x:c r="C1" s="151"/>
      <x:c r="D1" s="151"/>
      <x:c r="E1" s="151"/>
      <x:c r="F1" s="151"/>
    </x:row>
    <x:row r="2" ht="30" customHeight="1">
      <x:c r="A2" s="152" t="str">
        <x:v>Инвентаризация открытой части на 18.07.2026</x:v>
      </x:c>
      <x:c r="B2" s="152"/>
      <x:c r="C2" s="152"/>
      <x:c r="D2" s="152"/>
      <x:c r="E2" s="152"/>
      <x:c r="F2" s="152"/>
    </x:row>
    <x:row r="3">
      <x:c r="A3" s="159"/>
      <x:c r="B3" s="159"/>
      <x:c r="C3" s="159"/>
      <x:c r="D3" s="159"/>
      <x:c r="E3" s="159"/>
      <x:c r="F3" s="159"/>
    </x:row>
    <x:row r="4" ht="32" customHeight="1">
      <x:c r="A4" s="165" t="str">
        <x:v>№</x:v>
      </x:c>
      <x:c r="B4" s="165" t="str">
        <x:v>Раздел / шаблон</x:v>
      </x:c>
      <x:c r="C4" s="165" t="str">
        <x:v>URL-пример</x:v>
      </x:c>
      <x:c r="D4" s="165" t="str">
        <x:v>Повторяемость</x:v>
      </x:c>
      <x:c r="E4" s="165" t="str">
        <x:v>Сложность</x:v>
      </x:c>
      <x:c r="F4" s="165" t="str">
        <x:v>Основной фокус обновления</x:v>
      </x:c>
    </x:row>
    <x:row r="5">
      <x:c r="A5" s="166" t="n">
        <x:v>1</x:v>
      </x:c>
      <x:c r="B5" s="168" t="str">
        <x:v>Главная</x:v>
      </x:c>
      <x:c r="C5" s="168" t="str">
        <x:v>https://красволонтер.рф/</x:v>
      </x:c>
      <x:c r="D5" s="168" t="str">
        <x:v>1 шаблон</x:v>
      </x:c>
      <x:c r="E5" s="211" t="str">
        <x:v>Высокая</x:v>
      </x:c>
      <x:c r="F5" s="172" t="str">
        <x:v>Hero, CTA, события, команда, рейтинг, новости, партнёры</x:v>
      </x:c>
    </x:row>
    <x:row r="6">
      <x:c r="A6" s="173" t="n">
        <x:v>2</x:v>
      </x:c>
      <x:c r="B6" s="175" t="str">
        <x:v>Каталог мероприятий</x:v>
      </x:c>
      <x:c r="C6" s="175" t="str">
        <x:v>https://красволонтер.рф/events/</x:v>
      </x:c>
      <x:c r="D6" s="175" t="str">
        <x:v>5 направлений</x:v>
      </x:c>
      <x:c r="E6" s="214" t="str">
        <x:v>Очень высокая</x:v>
      </x:c>
      <x:c r="F6" s="179" t="str">
        <x:v>Фильтры, карточки, статусы, пагинация</x:v>
      </x:c>
    </x:row>
    <x:row r="7">
      <x:c r="A7" s="173" t="n">
        <x:v>3</x:v>
      </x:c>
      <x:c r="B7" s="175" t="str">
        <x:v>Муниципальные мероприятия</x:v>
      </x:c>
      <x:c r="C7" s="175" t="str">
        <x:v>https://красволонтер.рф/events/munitsipalitety/</x:v>
      </x:c>
      <x:c r="D7" s="175" t="str">
        <x:v>11 муниципалитетов</x:v>
      </x:c>
      <x:c r="E7" s="214" t="str">
        <x:v>Высокая</x:v>
      </x:c>
      <x:c r="F7" s="179" t="str">
        <x:v>Территориальная навигация и мобильная компактность</x:v>
      </x:c>
    </x:row>
    <x:row r="8">
      <x:c r="A8" s="173" t="n">
        <x:v>4</x:v>
      </x:c>
      <x:c r="B8" s="175" t="str">
        <x:v>Детальная события</x:v>
      </x:c>
      <x:c r="C8" s="175" t="str">
        <x:v>https://красволонтер.рф/events/forumsportrussia/</x:v>
      </x:c>
      <x:c r="D8" s="175" t="str">
        <x:v>&gt;1 300 записей по общему шаблону</x:v>
      </x:c>
      <x:c r="E8" s="214" t="str">
        <x:v>Высокая</x:v>
      </x:c>
      <x:c r="F8" s="179" t="str">
        <x:v>Дата, организатор, места, CTA, мотивация</x:v>
      </x:c>
    </x:row>
    <x:row r="9">
      <x:c r="A9" s="173" t="n">
        <x:v>5</x:v>
      </x:c>
      <x:c r="B9" s="175" t="str">
        <x:v>Команда — категории</x:v>
      </x:c>
      <x:c r="C9" s="175" t="str">
        <x:v>https://красволонтер.рф/team/</x:v>
      </x:c>
      <x:c r="D9" s="175" t="str">
        <x:v>4 категории</x:v>
      </x:c>
      <x:c r="E9" s="214" t="str">
        <x:v>Средняя</x:v>
      </x:c>
      <x:c r="F9" s="179" t="str">
        <x:v>Карточки типов штабов</x:v>
      </x:c>
    </x:row>
    <x:row r="10">
      <x:c r="A10" s="173" t="n">
        <x:v>6</x:v>
      </x:c>
      <x:c r="B10" s="175" t="str">
        <x:v>Команда — список</x:v>
      </x:c>
      <x:c r="C10" s="175" t="str">
        <x:v>https://красволонтер.рф/team/munitsipalnye-shtaby/</x:v>
      </x:c>
      <x:c r="D10" s="175" t="str">
        <x:v>&gt;20 организаций</x:v>
      </x:c>
      <x:c r="E10" s="214" t="str">
        <x:v>Высокая</x:v>
      </x:c>
      <x:c r="F10" s="179" t="str">
        <x:v>Карточки, контакты, география</x:v>
      </x:c>
    </x:row>
    <x:row r="11">
      <x:c r="A11" s="173" t="n">
        <x:v>7</x:v>
      </x:c>
      <x:c r="B11" s="175" t="str">
        <x:v>Команда — детальная</x:v>
      </x:c>
      <x:c r="C11" s="175" t="str">
        <x:v>https://красволонтер.рф/team/munitsipalnye-shtaby/shushenskiy-rayon/</x:v>
      </x:c>
      <x:c r="D11" s="175" t="str">
        <x:v>1 общий шаблон</x:v>
      </x:c>
      <x:c r="E11" s="214" t="str">
        <x:v>Высокая</x:v>
      </x:c>
      <x:c r="F11" s="179" t="str">
        <x:v>Контакты, участники, события, описание</x:v>
      </x:c>
    </x:row>
    <x:row r="12">
      <x:c r="A12" s="173" t="n">
        <x:v>8</x:v>
      </x:c>
      <x:c r="B12" s="175" t="str">
        <x:v>Рейтинг</x:v>
      </x:c>
      <x:c r="C12" s="175" t="str">
        <x:v>https://красволонтер.рф/rating/</x:v>
      </x:c>
      <x:c r="D12" s="175" t="str">
        <x:v>1 сложный шаблон</x:v>
      </x:c>
      <x:c r="E12" s="214" t="str">
        <x:v>Высокая</x:v>
      </x:c>
      <x:c r="F12" s="179" t="str">
        <x:v>Поиск, фильтры, роли, показатели</x:v>
      </x:c>
    </x:row>
    <x:row r="13">
      <x:c r="A13" s="173" t="n">
        <x:v>9</x:v>
      </x:c>
      <x:c r="B13" s="175" t="str">
        <x:v>Магазин</x:v>
      </x:c>
      <x:c r="C13" s="175" t="str">
        <x:v>https://красволонтер.рф/shop/</x:v>
      </x:c>
      <x:c r="D13" s="175" t="str">
        <x:v>7 секций</x:v>
      </x:c>
      <x:c r="E13" s="214" t="str">
        <x:v>Высокая</x:v>
      </x:c>
      <x:c r="F13" s="179" t="str">
        <x:v>Навигация, товарные карточки, VOLюта, состояния</x:v>
      </x:c>
    </x:row>
    <x:row r="14">
      <x:c r="A14" s="173" t="n">
        <x:v>10</x:v>
      </x:c>
      <x:c r="B14" s="175" t="str">
        <x:v>Документы</x:v>
      </x:c>
      <x:c r="C14" s="175" t="str">
        <x:v>https://красволонтер.рф/documents/</x:v>
      </x:c>
      <x:c r="D14" s="175" t="str">
        <x:v>Категории + PDF</x:v>
      </x:c>
      <x:c r="E14" s="214" t="str">
        <x:v>Средняя</x:v>
      </x:c>
      <x:c r="F14" s="179" t="str">
        <x:v>Фильтры, метаданные, скачать/открыть</x:v>
      </x:c>
    </x:row>
    <x:row r="15">
      <x:c r="A15" s="173" t="n">
        <x:v>11</x:v>
      </x:c>
      <x:c r="B15" s="175" t="str">
        <x:v>Новости</x:v>
      </x:c>
      <x:c r="C15" s="175" t="str">
        <x:v>https://красволонтер.рф/news/</x:v>
      </x:c>
      <x:c r="D15" s="175" t="str">
        <x:v>Лента + детальная</x:v>
      </x:c>
      <x:c r="E15" s="214" t="str">
        <x:v>Средняя</x:v>
      </x:c>
      <x:c r="F15" s="179" t="str">
        <x:v>Карточки, дата, автор, чтение</x:v>
      </x:c>
    </x:row>
    <x:row r="16">
      <x:c r="A16" s="173" t="n">
        <x:v>12</x:v>
      </x:c>
      <x:c r="B16" s="175" t="str">
        <x:v>Контакты</x:v>
      </x:c>
      <x:c r="C16" s="175" t="str">
        <x:v>https://красволонтер.рф/contacts/</x:v>
      </x:c>
      <x:c r="D16" s="175" t="str">
        <x:v>1 шаблон</x:v>
      </x:c>
      <x:c r="E16" s="214" t="str">
        <x:v>Низкая</x:v>
      </x:c>
      <x:c r="F16" s="179" t="str">
        <x:v>Иерархия контактов и внешние ссылки</x:v>
      </x:c>
    </x:row>
    <x:row r="17">
      <x:c r="A17" s="173" t="n">
        <x:v>13</x:v>
      </x:c>
      <x:c r="B17" s="175" t="str">
        <x:v>Профиль</x:v>
      </x:c>
      <x:c r="C17" s="175" t="str">
        <x:v>https://красволонтер.рф/irishkaekm</x:v>
      </x:c>
      <x:c r="D17" s="175" t="str">
        <x:v>Много пользовательских страниц</x:v>
      </x:c>
      <x:c r="E17" s="214" t="str">
        <x:v>Средняя</x:v>
      </x:c>
      <x:c r="F17" s="179" t="str">
        <x:v>Шапка профиля, показатели, пустые состояния</x:v>
      </x:c>
    </x:row>
    <x:row r="18">
      <x:c r="A18" s="173" t="n">
        <x:v>14</x:v>
      </x:c>
      <x:c r="B18" s="175" t="str">
        <x:v>Формы доступа</x:v>
      </x:c>
      <x:c r="C18" s="175" t="str">
        <x:v>https://красволонтер.рф/auth/</x:v>
      </x:c>
      <x:c r="D18" s="175" t="str">
        <x:v>Глобальные модальные формы</x:v>
      </x:c>
      <x:c r="E18" s="214" t="str">
        <x:v>Высокая</x:v>
      </x:c>
      <x:c r="F18" s="179" t="str">
        <x:v>Метки, ошибки, фокус, подтверждения</x:v>
      </x:c>
    </x:row>
    <x:row r="19">
      <x:c r="A19" s="180" t="n">
        <x:v>15</x:v>
      </x:c>
      <x:c r="B19" s="182" t="str">
        <x:v>Юридические страницы</x:v>
      </x:c>
      <x:c r="C19" s="182" t="str">
        <x:v>https://красволонтер.рф/agreement/</x:v>
      </x:c>
      <x:c r="D19" s="182" t="str">
        <x:v>4 документа</x:v>
      </x:c>
      <x:c r="E19" s="217" t="str">
        <x:v>Средняя</x:v>
      </x:c>
      <x:c r="F19" s="186" t="str">
        <x:v>Читаемость длинного текста и якоря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" hidden="0" customWidth="1"/>
    <x:col min="2" max="2" width="28" hidden="0" customWidth="1"/>
    <x:col min="3" max="3" width="50" hidden="0" customWidth="1"/>
    <x:col min="4" max="4" width="18" hidden="0" customWidth="1"/>
    <x:col min="5" max="5" width="15" hidden="0" customWidth="1"/>
    <x:col min="6" max="6" width="42" hidden="0" customWidth="1"/>
  </x:cols>
  <x:sheetData>
    <x:row r="1" ht="34" customHeight="1">
      <x:c r="A1" s="151" t="str">
        <x:v>ОПЦИОНАЛЬНЫЕ РАБОТЫ</x:v>
      </x:c>
      <x:c r="B1" s="151"/>
      <x:c r="C1" s="151"/>
      <x:c r="D1" s="151"/>
      <x:c r="E1" s="151"/>
      <x:c r="F1" s="151"/>
    </x:row>
    <x:row r="2" ht="30" customHeight="1">
      <x:c r="A2" s="152" t="str">
        <x:v>Не входят в основной итог и подключаются только по отдельному согласованию</x:v>
      </x:c>
      <x:c r="B2" s="152"/>
      <x:c r="C2" s="152"/>
      <x:c r="D2" s="152"/>
      <x:c r="E2" s="152"/>
      <x:c r="F2" s="152"/>
    </x:row>
    <x:row r="3">
      <x:c r="A3" s="159"/>
      <x:c r="B3" s="159"/>
      <x:c r="C3" s="159"/>
      <x:c r="D3" s="159"/>
      <x:c r="E3" s="159"/>
      <x:c r="F3" s="159"/>
    </x:row>
    <x:row r="4" ht="32" customHeight="1">
      <x:c r="A4" s="165" t="str">
        <x:v>№</x:v>
      </x:c>
      <x:c r="B4" s="165" t="str">
        <x:v>Опция</x:v>
      </x:c>
      <x:c r="C4" s="165" t="str">
        <x:v>Результат</x:v>
      </x:c>
      <x:c r="D4" s="165" t="str">
        <x:v>Ориентир, ₽</x:v>
      </x:c>
      <x:c r="E4" s="165" t="str">
        <x:v>Срок</x:v>
      </x:c>
      <x:c r="F4" s="165" t="str">
        <x:v>Комментарий</x:v>
      </x:c>
    </x:row>
    <x:row r="5">
      <x:c r="A5" s="210" t="n">
        <x:v>1</x:v>
      </x:c>
      <x:c r="B5" s="168" t="str">
        <x:v>Редизайн логотипа</x:v>
      </x:c>
      <x:c r="C5" s="168" t="str">
        <x:v>Новый знак, версии, охранное поле и краткий гайд</x:v>
      </x:c>
      <x:c r="D5" s="219" t="n">
        <x:v>90000</x:v>
      </x:c>
      <x:c r="E5" s="168" t="str">
        <x:v>2–3 недели</x:v>
      </x:c>
      <x:c r="F5" s="172" t="str">
        <x:v>Основная смета сохраняет текущий логотип</x:v>
      </x:c>
    </x:row>
    <x:row r="6">
      <x:c r="A6" s="213" t="n">
        <x:v>2</x:v>
      </x:c>
      <x:c r="B6" s="175" t="str">
        <x:v>Фирменные иллюстрации</x:v>
      </x:c>
      <x:c r="C6" s="175" t="str">
        <x:v>До 10 оригинальных сюжетных иллюстраций</x:v>
      </x:c>
      <x:c r="D6" s="220" t="n">
        <x:v>120000</x:v>
      </x:c>
      <x:c r="E6" s="175" t="str">
        <x:v>3–4 недели</x:v>
      </x:c>
      <x:c r="F6" s="179" t="str">
        <x:v>Стиль утверждается отдельно</x:v>
      </x:c>
    </x:row>
    <x:row r="7">
      <x:c r="A7" s="213" t="n">
        <x:v>3</x:v>
      </x:c>
      <x:c r="B7" s="175" t="str">
        <x:v>Фотосъёмка</x:v>
      </x:c>
      <x:c r="C7" s="175" t="str">
        <x:v>Однодневная съёмка команды/волонтёров, базовая обработка</x:v>
      </x:c>
      <x:c r="D7" s="220" t="n">
        <x:v>120000</x:v>
      </x:c>
      <x:c r="E7" s="175" t="str">
        <x:v>1–2 недели</x:v>
      </x:c>
      <x:c r="F7" s="179" t="str">
        <x:v>Без аренды сложных локаций и моделей</x:v>
      </x:c>
    </x:row>
    <x:row r="8">
      <x:c r="A8" s="213" t="n">
        <x:v>4</x:v>
      </x:c>
      <x:c r="B8" s="175" t="str">
        <x:v>Редактура интерфейсных текстов</x:v>
      </x:c>
      <x:c r="C8" s="175" t="str">
        <x:v>Кнопки, подсказки, заголовки и короткие описания</x:v>
      </x:c>
      <x:c r="D8" s="220" t="n">
        <x:v>60000</x:v>
      </x:c>
      <x:c r="E8" s="175" t="str">
        <x:v>1–2 недели</x:v>
      </x:c>
      <x:c r="F8" s="179" t="str">
        <x:v>До 80 интерфейсных фрагментов</x:v>
      </x:c>
    </x:row>
    <x:row r="9">
      <x:c r="A9" s="213" t="n">
        <x:v>5</x:v>
      </x:c>
      <x:c r="B9" s="175" t="str">
        <x:v>Расширенный аудит доступности</x:v>
      </x:c>
      <x:c r="C9" s="175" t="str">
        <x:v>Отдельный протокол WCAG, сценарии клавиатуры и скринридера</x:v>
      </x:c>
      <x:c r="D9" s="220" t="n">
        <x:v>85000</x:v>
      </x:c>
      <x:c r="E9" s="175" t="str">
        <x:v>2 недели</x:v>
      </x:c>
      <x:c r="F9" s="179" t="str">
        <x:v>С исправлением критичных визуальных замечаний</x:v>
      </x:c>
    </x:row>
    <x:row r="10">
      <x:c r="A10" s="213" t="n">
        <x:v>6</x:v>
      </x:c>
      <x:c r="B10" s="175" t="str">
        <x:v>SEO и аналитика</x:v>
      </x:c>
      <x:c r="C10" s="175" t="str">
        <x:v>Технический аудит, цели, события и рекомендации</x:v>
      </x:c>
      <x:c r="D10" s="220" t="n">
        <x:v>75000</x:v>
      </x:c>
      <x:c r="E10" s="175" t="str">
        <x:v>2 недели</x:v>
      </x:c>
      <x:c r="F10" s="179" t="str">
        <x:v>Без ежемесячного продвижения</x:v>
      </x:c>
    </x:row>
    <x:row r="11">
      <x:c r="A11" s="216" t="n">
        <x:v>7</x:v>
      </x:c>
      <x:c r="B11" s="182" t="str">
        <x:v>Дополнительная итерация</x:v>
      </x:c>
      <x:c r="C11" s="182" t="str">
        <x:v>Один цикл правок после исчерпания включённых итераций</x:v>
      </x:c>
      <x:c r="D11" s="221" t="n">
        <x:v>40000</x:v>
      </x:c>
      <x:c r="E11" s="182" t="str">
        <x:v>3–5 дней</x:v>
      </x:c>
      <x:c r="F11" s="186" t="str">
        <x:v>Стоимость зависит от объёма изменений</x:v>
      </x:c>
    </x:row>
  </x:sheetData>
  <x:mergeCells>
    <x:mergeCell ref="A1:F1"/>
    <x:mergeCell ref="A2:F2"/>
  </x:mergeCells>
  <x:pageMargins left="0.7" right="0.7" top="0.75" bottom="0.75" header="0.3" footer="0.3"/>
</x:worksheet>
</file>